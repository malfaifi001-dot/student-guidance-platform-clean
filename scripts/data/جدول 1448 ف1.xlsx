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fai\Downloads\"/>
    </mc:Choice>
  </mc:AlternateContent>
  <xr:revisionPtr revIDLastSave="0" documentId="13_ncr:1_{8EBF6E03-E9DE-495D-8AAA-89750BA78E95}" xr6:coauthVersionLast="47" xr6:coauthVersionMax="47" xr10:uidLastSave="{00000000-0000-0000-0000-000000000000}"/>
  <bookViews>
    <workbookView xWindow="46680" yWindow="-120" windowWidth="38640" windowHeight="21120" xr2:uid="{00000000-000D-0000-FFFF-FFFF00000000}"/>
  </bookViews>
  <sheets>
    <sheet name="النصاب الكامل" sheetId="2" r:id="rId1"/>
    <sheet name="الفصول" sheetId="5" r:id="rId2"/>
    <sheet name="أرقام" sheetId="21" r:id="rId3"/>
    <sheet name="ورقة19" sheetId="28" r:id="rId4"/>
    <sheet name="اخراج نهائي" sheetId="29" r:id="rId5"/>
    <sheet name="ورقة1" sheetId="30" r:id="rId6"/>
    <sheet name="ورقة2" sheetId="31" r:id="rId7"/>
    <sheet name="مخطط1" sheetId="33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5" l="1"/>
  <c r="T33" i="21"/>
  <c r="B2" i="5"/>
  <c r="K5" i="28"/>
  <c r="E4" i="28"/>
  <c r="F4" i="28"/>
  <c r="G4" i="28"/>
  <c r="K4" i="28"/>
  <c r="L4" i="28"/>
  <c r="O4" i="28"/>
  <c r="P4" i="28"/>
  <c r="R4" i="28"/>
  <c r="S4" i="28"/>
  <c r="T4" i="28"/>
  <c r="V4" i="28"/>
  <c r="X4" i="28"/>
  <c r="AB4" i="28"/>
  <c r="AG4" i="28"/>
  <c r="AH4" i="28"/>
  <c r="AI4" i="28"/>
  <c r="AJ4" i="28"/>
  <c r="AK4" i="28"/>
  <c r="AL4" i="28"/>
  <c r="AL4" i="29" s="1"/>
  <c r="E5" i="28"/>
  <c r="F5" i="28"/>
  <c r="G5" i="28"/>
  <c r="H5" i="28"/>
  <c r="I5" i="28"/>
  <c r="J5" i="28"/>
  <c r="M5" i="28"/>
  <c r="N5" i="28"/>
  <c r="P5" i="28"/>
  <c r="R5" i="28"/>
  <c r="S5" i="28"/>
  <c r="T5" i="28"/>
  <c r="U5" i="28"/>
  <c r="V5" i="28"/>
  <c r="W5" i="28"/>
  <c r="Y5" i="28"/>
  <c r="Z5" i="28"/>
  <c r="AA5" i="28"/>
  <c r="AC5" i="28"/>
  <c r="AD5" i="28"/>
  <c r="AE5" i="28"/>
  <c r="AF5" i="28"/>
  <c r="AG5" i="28"/>
  <c r="AH5" i="28"/>
  <c r="AK5" i="28"/>
  <c r="E6" i="28"/>
  <c r="F6" i="28"/>
  <c r="G6" i="28"/>
  <c r="H6" i="28"/>
  <c r="I6" i="28"/>
  <c r="J6" i="28"/>
  <c r="M6" i="28"/>
  <c r="N6" i="28"/>
  <c r="O6" i="28"/>
  <c r="P6" i="28"/>
  <c r="Q6" i="28"/>
  <c r="R6" i="28"/>
  <c r="T6" i="28"/>
  <c r="Y6" i="28"/>
  <c r="Z6" i="28"/>
  <c r="AA6" i="28"/>
  <c r="AF6" i="28"/>
  <c r="AG6" i="28"/>
  <c r="AH6" i="28"/>
  <c r="AK6" i="28"/>
  <c r="AL6" i="28"/>
  <c r="AL6" i="29" s="1"/>
  <c r="E7" i="28"/>
  <c r="G7" i="28"/>
  <c r="I7" i="28"/>
  <c r="J7" i="28"/>
  <c r="M7" i="28"/>
  <c r="N7" i="28"/>
  <c r="O7" i="28"/>
  <c r="P7" i="28"/>
  <c r="Q7" i="28"/>
  <c r="S7" i="28"/>
  <c r="T7" i="28"/>
  <c r="U7" i="28"/>
  <c r="V7" i="28"/>
  <c r="W7" i="28"/>
  <c r="X7" i="28"/>
  <c r="Y7" i="28"/>
  <c r="Z7" i="28"/>
  <c r="AA7" i="28"/>
  <c r="AB7" i="28"/>
  <c r="AE7" i="28"/>
  <c r="AF7" i="28"/>
  <c r="AG7" i="28"/>
  <c r="AK7" i="28"/>
  <c r="AL7" i="28"/>
  <c r="AL7" i="29" s="1"/>
  <c r="G8" i="28"/>
  <c r="H8" i="28"/>
  <c r="I8" i="28"/>
  <c r="J8" i="28"/>
  <c r="K8" i="28"/>
  <c r="M8" i="28"/>
  <c r="N8" i="28"/>
  <c r="O8" i="28"/>
  <c r="P8" i="28"/>
  <c r="Q8" i="28"/>
  <c r="R8" i="28"/>
  <c r="S8" i="28"/>
  <c r="U8" i="28"/>
  <c r="V8" i="28"/>
  <c r="X8" i="28"/>
  <c r="Y8" i="28"/>
  <c r="AA8" i="28"/>
  <c r="AC8" i="28"/>
  <c r="AD8" i="28"/>
  <c r="AE8" i="28"/>
  <c r="AF8" i="28"/>
  <c r="AG8" i="28"/>
  <c r="AI8" i="28"/>
  <c r="AJ8" i="28"/>
  <c r="AK8" i="28"/>
  <c r="AL8" i="28"/>
  <c r="AL8" i="29" s="1"/>
  <c r="G9" i="28"/>
  <c r="H9" i="28"/>
  <c r="I9" i="28"/>
  <c r="J9" i="28"/>
  <c r="K9" i="28"/>
  <c r="L9" i="28"/>
  <c r="P9" i="28"/>
  <c r="Q9" i="28"/>
  <c r="T9" i="28"/>
  <c r="U9" i="28"/>
  <c r="V9" i="28"/>
  <c r="W9" i="28"/>
  <c r="X9" i="28"/>
  <c r="Y9" i="28"/>
  <c r="AB9" i="28"/>
  <c r="AC9" i="28"/>
  <c r="AF9" i="28"/>
  <c r="AG9" i="28"/>
  <c r="AI9" i="28"/>
  <c r="AJ9" i="28"/>
  <c r="E10" i="28"/>
  <c r="F10" i="28"/>
  <c r="G10" i="28"/>
  <c r="K10" i="28"/>
  <c r="L10" i="28"/>
  <c r="M10" i="28"/>
  <c r="N10" i="28"/>
  <c r="Q10" i="28"/>
  <c r="S10" i="28"/>
  <c r="U10" i="28"/>
  <c r="V10" i="28"/>
  <c r="W10" i="28"/>
  <c r="X10" i="28"/>
  <c r="Y10" i="28"/>
  <c r="Z10" i="28"/>
  <c r="AA10" i="28"/>
  <c r="AB10" i="28"/>
  <c r="AG10" i="28"/>
  <c r="AH10" i="28"/>
  <c r="AI10" i="28"/>
  <c r="AJ10" i="28"/>
  <c r="AK10" i="28"/>
  <c r="AL10" i="28"/>
  <c r="AL10" i="29" s="1"/>
  <c r="E11" i="28"/>
  <c r="G11" i="28"/>
  <c r="K11" i="28"/>
  <c r="L11" i="28"/>
  <c r="N11" i="28"/>
  <c r="O11" i="28"/>
  <c r="P11" i="28"/>
  <c r="Q11" i="28"/>
  <c r="R11" i="28"/>
  <c r="T11" i="28"/>
  <c r="U11" i="28"/>
  <c r="V11" i="28"/>
  <c r="W11" i="28"/>
  <c r="X11" i="28"/>
  <c r="Y11" i="28"/>
  <c r="Z11" i="28"/>
  <c r="AA11" i="28"/>
  <c r="AE11" i="28"/>
  <c r="AF11" i="28"/>
  <c r="AG11" i="28"/>
  <c r="AH11" i="28"/>
  <c r="AI11" i="28"/>
  <c r="E12" i="28"/>
  <c r="E12" i="29" s="1"/>
  <c r="F12" i="28"/>
  <c r="G12" i="28"/>
  <c r="G12" i="29" s="1"/>
  <c r="H12" i="28"/>
  <c r="H12" i="29" s="1"/>
  <c r="K12" i="28"/>
  <c r="K12" i="29" s="1"/>
  <c r="L12" i="28"/>
  <c r="M12" i="28"/>
  <c r="N12" i="28"/>
  <c r="N12" i="29" s="1"/>
  <c r="T12" i="28"/>
  <c r="T12" i="29" s="1"/>
  <c r="U12" i="28"/>
  <c r="V12" i="28"/>
  <c r="W12" i="28"/>
  <c r="X12" i="28"/>
  <c r="X12" i="29" s="1"/>
  <c r="Z12" i="28"/>
  <c r="Z12" i="29" s="1"/>
  <c r="AA12" i="28"/>
  <c r="AA12" i="29" s="1"/>
  <c r="AB12" i="28"/>
  <c r="AB12" i="29" s="1"/>
  <c r="AC12" i="28"/>
  <c r="AC12" i="29" s="1"/>
  <c r="AD12" i="28"/>
  <c r="AD12" i="29" s="1"/>
  <c r="AE12" i="28"/>
  <c r="AF12" i="28"/>
  <c r="AF12" i="29" s="1"/>
  <c r="AG12" i="28"/>
  <c r="AG12" i="29" s="1"/>
  <c r="AL12" i="28"/>
  <c r="AL12" i="29" s="1"/>
  <c r="E13" i="28"/>
  <c r="F13" i="28"/>
  <c r="F13" i="29" s="1"/>
  <c r="G13" i="28"/>
  <c r="G13" i="29" s="1"/>
  <c r="H13" i="28"/>
  <c r="H13" i="29" s="1"/>
  <c r="I13" i="28"/>
  <c r="I13" i="29" s="1"/>
  <c r="J13" i="28"/>
  <c r="J13" i="29" s="1"/>
  <c r="K13" i="28"/>
  <c r="L13" i="28"/>
  <c r="L13" i="29" s="1"/>
  <c r="M13" i="28"/>
  <c r="M13" i="29" s="1"/>
  <c r="O13" i="28"/>
  <c r="O13" i="29" s="1"/>
  <c r="Q13" i="28"/>
  <c r="Q13" i="29" s="1"/>
  <c r="R13" i="28"/>
  <c r="R13" i="29" s="1"/>
  <c r="S13" i="28"/>
  <c r="U13" i="28"/>
  <c r="U13" i="29" s="1"/>
  <c r="V13" i="28"/>
  <c r="V13" i="29" s="1"/>
  <c r="Y13" i="28"/>
  <c r="Y13" i="29" s="1"/>
  <c r="Z13" i="28"/>
  <c r="Z13" i="29" s="1"/>
  <c r="AA13" i="28"/>
  <c r="AC13" i="28"/>
  <c r="AC13" i="29" s="1"/>
  <c r="AE13" i="28"/>
  <c r="AG13" i="28"/>
  <c r="AG13" i="29" s="1"/>
  <c r="AH13" i="28"/>
  <c r="AH13" i="29" s="1"/>
  <c r="AI13" i="28"/>
  <c r="AI13" i="29" s="1"/>
  <c r="AJ13" i="28"/>
  <c r="AJ13" i="29" s="1"/>
  <c r="AK13" i="28"/>
  <c r="AL13" i="28"/>
  <c r="AL13" i="29" s="1"/>
  <c r="E14" i="28"/>
  <c r="E14" i="29" s="1"/>
  <c r="F14" i="28"/>
  <c r="F14" i="29" s="1"/>
  <c r="H14" i="28"/>
  <c r="H14" i="29" s="1"/>
  <c r="J14" i="28"/>
  <c r="K14" i="28"/>
  <c r="K14" i="29" s="1"/>
  <c r="L14" i="28"/>
  <c r="L14" i="29" s="1"/>
  <c r="M14" i="28"/>
  <c r="M14" i="29" s="1"/>
  <c r="N14" i="28"/>
  <c r="N14" i="29" s="1"/>
  <c r="O14" i="28"/>
  <c r="O14" i="29" s="1"/>
  <c r="P14" i="28"/>
  <c r="P14" i="29" s="1"/>
  <c r="Q14" i="28"/>
  <c r="R14" i="28"/>
  <c r="S14" i="28"/>
  <c r="T14" i="28"/>
  <c r="T14" i="29" s="1"/>
  <c r="U14" i="28"/>
  <c r="U14" i="29" s="1"/>
  <c r="V14" i="28"/>
  <c r="V14" i="29" s="1"/>
  <c r="W14" i="28"/>
  <c r="W14" i="29" s="1"/>
  <c r="X14" i="28"/>
  <c r="X14" i="29" s="1"/>
  <c r="AA14" i="28"/>
  <c r="AA14" i="29" s="1"/>
  <c r="AB14" i="28"/>
  <c r="AB14" i="29" s="1"/>
  <c r="AC14" i="28"/>
  <c r="AD14" i="28"/>
  <c r="AD14" i="29" s="1"/>
  <c r="AE14" i="28"/>
  <c r="AE14" i="29" s="1"/>
  <c r="AF14" i="28"/>
  <c r="AF14" i="29" s="1"/>
  <c r="F15" i="28"/>
  <c r="F15" i="29" s="1"/>
  <c r="G15" i="28"/>
  <c r="G15" i="29" s="1"/>
  <c r="H15" i="28"/>
  <c r="H15" i="29" s="1"/>
  <c r="K15" i="28"/>
  <c r="L15" i="28"/>
  <c r="Q15" i="28"/>
  <c r="Q15" i="29" s="1"/>
  <c r="S15" i="28"/>
  <c r="T15" i="28"/>
  <c r="T15" i="29" s="1"/>
  <c r="AB15" i="28"/>
  <c r="AB15" i="29" s="1"/>
  <c r="AC15" i="28"/>
  <c r="AC15" i="29" s="1"/>
  <c r="AD15" i="28"/>
  <c r="AD15" i="29" s="1"/>
  <c r="AE15" i="28"/>
  <c r="AE15" i="29" s="1"/>
  <c r="AH15" i="28"/>
  <c r="AH15" i="29" s="1"/>
  <c r="AI15" i="28"/>
  <c r="AI15" i="29" s="1"/>
  <c r="AJ15" i="28"/>
  <c r="AJ15" i="29" s="1"/>
  <c r="AK15" i="28"/>
  <c r="AK15" i="29" s="1"/>
  <c r="AL15" i="28"/>
  <c r="AL15" i="29" s="1"/>
  <c r="E16" i="28"/>
  <c r="E16" i="29" s="1"/>
  <c r="N16" i="28"/>
  <c r="O16" i="28"/>
  <c r="O16" i="29" s="1"/>
  <c r="P16" i="28"/>
  <c r="Q16" i="28"/>
  <c r="R16" i="28"/>
  <c r="R16" i="29" s="1"/>
  <c r="S16" i="28"/>
  <c r="S16" i="29" s="1"/>
  <c r="T16" i="28"/>
  <c r="T16" i="29" s="1"/>
  <c r="U16" i="28"/>
  <c r="U16" i="29" s="1"/>
  <c r="AA16" i="28"/>
  <c r="AA16" i="29" s="1"/>
  <c r="AB16" i="28"/>
  <c r="AB16" i="29" s="1"/>
  <c r="AC16" i="28"/>
  <c r="AC16" i="29" s="1"/>
  <c r="AD16" i="28"/>
  <c r="AE16" i="28"/>
  <c r="AE16" i="29" s="1"/>
  <c r="AF16" i="28"/>
  <c r="AF16" i="29" s="1"/>
  <c r="AG16" i="28"/>
  <c r="AL16" i="28"/>
  <c r="AL16" i="29" s="1"/>
  <c r="F17" i="28"/>
  <c r="F17" i="29" s="1"/>
  <c r="I17" i="28"/>
  <c r="I17" i="29" s="1"/>
  <c r="J17" i="28"/>
  <c r="J17" i="29" s="1"/>
  <c r="L17" i="28"/>
  <c r="M17" i="28"/>
  <c r="M17" i="29" s="1"/>
  <c r="N17" i="28"/>
  <c r="O17" i="28"/>
  <c r="P17" i="28"/>
  <c r="P17" i="29" s="1"/>
  <c r="Q17" i="28"/>
  <c r="Q17" i="29" s="1"/>
  <c r="R17" i="28"/>
  <c r="R17" i="29" s="1"/>
  <c r="T17" i="28"/>
  <c r="U17" i="28"/>
  <c r="W17" i="28"/>
  <c r="X17" i="28"/>
  <c r="X17" i="29" s="1"/>
  <c r="Z17" i="28"/>
  <c r="Z17" i="29" s="1"/>
  <c r="AA17" i="28"/>
  <c r="AD17" i="28"/>
  <c r="AE17" i="28"/>
  <c r="AE17" i="29" s="1"/>
  <c r="AH17" i="28"/>
  <c r="AH17" i="29" s="1"/>
  <c r="AI17" i="28"/>
  <c r="AI17" i="29" s="1"/>
  <c r="AJ17" i="28"/>
  <c r="AJ17" i="29" s="1"/>
  <c r="AK17" i="28"/>
  <c r="AK17" i="29" s="1"/>
  <c r="AL17" i="28"/>
  <c r="AL17" i="29" s="1"/>
  <c r="F18" i="28"/>
  <c r="F18" i="29" s="1"/>
  <c r="I18" i="28"/>
  <c r="J18" i="28"/>
  <c r="J18" i="29" s="1"/>
  <c r="L18" i="28"/>
  <c r="M18" i="28"/>
  <c r="N18" i="28"/>
  <c r="N18" i="29" s="1"/>
  <c r="O18" i="28"/>
  <c r="O18" i="29" s="1"/>
  <c r="P18" i="28"/>
  <c r="Q18" i="28"/>
  <c r="Q18" i="29" s="1"/>
  <c r="R18" i="28"/>
  <c r="T18" i="28"/>
  <c r="T18" i="29" s="1"/>
  <c r="U18" i="28"/>
  <c r="W18" i="28"/>
  <c r="W18" i="29" s="1"/>
  <c r="X18" i="28"/>
  <c r="X18" i="29" s="1"/>
  <c r="Y18" i="28"/>
  <c r="Z18" i="28"/>
  <c r="Z18" i="29" s="1"/>
  <c r="AA18" i="28"/>
  <c r="AA18" i="29" s="1"/>
  <c r="AD18" i="28"/>
  <c r="AD18" i="29" s="1"/>
  <c r="AE18" i="28"/>
  <c r="AE18" i="29" s="1"/>
  <c r="AF18" i="28"/>
  <c r="AF18" i="29" s="1"/>
  <c r="AH18" i="28"/>
  <c r="AI18" i="28"/>
  <c r="AI18" i="29" s="1"/>
  <c r="AJ18" i="28"/>
  <c r="AJ18" i="29" s="1"/>
  <c r="AK18" i="28"/>
  <c r="AL18" i="28"/>
  <c r="AL18" i="29" s="1"/>
  <c r="E19" i="28"/>
  <c r="E19" i="29" s="1"/>
  <c r="J19" i="28"/>
  <c r="J19" i="29" s="1"/>
  <c r="M19" i="28"/>
  <c r="M19" i="29" s="1"/>
  <c r="Q19" i="28"/>
  <c r="Q19" i="29" s="1"/>
  <c r="S19" i="28"/>
  <c r="S19" i="29" s="1"/>
  <c r="T19" i="28"/>
  <c r="T19" i="29" s="1"/>
  <c r="X19" i="28"/>
  <c r="Z19" i="28"/>
  <c r="Z19" i="29" s="1"/>
  <c r="AE19" i="28"/>
  <c r="AH19" i="28"/>
  <c r="AI19" i="28"/>
  <c r="AI19" i="29" s="1"/>
  <c r="AJ19" i="28"/>
  <c r="AJ19" i="29" s="1"/>
  <c r="AK19" i="28"/>
  <c r="AK19" i="29" s="1"/>
  <c r="AL19" i="28"/>
  <c r="AL19" i="29" s="1"/>
  <c r="E20" i="28"/>
  <c r="E20" i="29" s="1"/>
  <c r="F20" i="28"/>
  <c r="G20" i="28"/>
  <c r="H20" i="28"/>
  <c r="H20" i="29" s="1"/>
  <c r="I20" i="28"/>
  <c r="I20" i="29" s="1"/>
  <c r="J20" i="28"/>
  <c r="J20" i="29" s="1"/>
  <c r="K20" i="28"/>
  <c r="K20" i="29" s="1"/>
  <c r="L20" i="28"/>
  <c r="L20" i="29" s="1"/>
  <c r="M20" i="28"/>
  <c r="M20" i="29" s="1"/>
  <c r="N20" i="28"/>
  <c r="N20" i="29" s="1"/>
  <c r="O20" i="28"/>
  <c r="P20" i="28"/>
  <c r="P20" i="29" s="1"/>
  <c r="Q20" i="28"/>
  <c r="Q20" i="29" s="1"/>
  <c r="R20" i="28"/>
  <c r="R20" i="29" s="1"/>
  <c r="S20" i="28"/>
  <c r="S20" i="29" s="1"/>
  <c r="T20" i="28"/>
  <c r="T20" i="29" s="1"/>
  <c r="U20" i="28"/>
  <c r="V20" i="28"/>
  <c r="W20" i="28"/>
  <c r="X20" i="28"/>
  <c r="X20" i="29" s="1"/>
  <c r="Y20" i="28"/>
  <c r="Y20" i="29" s="1"/>
  <c r="Z20" i="28"/>
  <c r="Z20" i="29" s="1"/>
  <c r="AA20" i="28"/>
  <c r="AA20" i="29" s="1"/>
  <c r="AB20" i="28"/>
  <c r="AB20" i="29" s="1"/>
  <c r="AC20" i="28"/>
  <c r="AD20" i="28"/>
  <c r="AD20" i="29" s="1"/>
  <c r="AE20" i="28"/>
  <c r="AF20" i="28"/>
  <c r="AF20" i="29" s="1"/>
  <c r="AG20" i="28"/>
  <c r="AG20" i="29" s="1"/>
  <c r="AH20" i="28"/>
  <c r="AH20" i="29" s="1"/>
  <c r="AI20" i="28"/>
  <c r="AI20" i="29" s="1"/>
  <c r="AJ20" i="28"/>
  <c r="AJ20" i="29" s="1"/>
  <c r="AK20" i="28"/>
  <c r="AK20" i="29" s="1"/>
  <c r="AL20" i="28"/>
  <c r="AL20" i="29" s="1"/>
  <c r="F21" i="28"/>
  <c r="G21" i="28"/>
  <c r="G21" i="29" s="1"/>
  <c r="H21" i="28"/>
  <c r="H21" i="29" s="1"/>
  <c r="I21" i="28"/>
  <c r="I21" i="29" s="1"/>
  <c r="J21" i="28"/>
  <c r="J21" i="29" s="1"/>
  <c r="K21" i="28"/>
  <c r="K21" i="29" s="1"/>
  <c r="L21" i="28"/>
  <c r="L21" i="29" s="1"/>
  <c r="M21" i="28"/>
  <c r="M21" i="29" s="1"/>
  <c r="N21" i="28"/>
  <c r="N21" i="29" s="1"/>
  <c r="R21" i="28"/>
  <c r="R21" i="29" s="1"/>
  <c r="X21" i="28"/>
  <c r="X21" i="29" s="1"/>
  <c r="Y21" i="28"/>
  <c r="Y21" i="29" s="1"/>
  <c r="Z21" i="28"/>
  <c r="Z21" i="29" s="1"/>
  <c r="AE21" i="28"/>
  <c r="AE21" i="29" s="1"/>
  <c r="AF21" i="28"/>
  <c r="AF21" i="29" s="1"/>
  <c r="AI21" i="28"/>
  <c r="AI21" i="29" s="1"/>
  <c r="AJ21" i="28"/>
  <c r="AK21" i="28"/>
  <c r="AK21" i="29" s="1"/>
  <c r="AL21" i="28"/>
  <c r="AL21" i="29" s="1"/>
  <c r="F22" i="28"/>
  <c r="F22" i="29" s="1"/>
  <c r="G22" i="28"/>
  <c r="G22" i="29" s="1"/>
  <c r="H22" i="28"/>
  <c r="H22" i="29" s="1"/>
  <c r="I22" i="28"/>
  <c r="L22" i="28"/>
  <c r="L22" i="29" s="1"/>
  <c r="N22" i="28"/>
  <c r="N22" i="29" s="1"/>
  <c r="O22" i="28"/>
  <c r="O22" i="29" s="1"/>
  <c r="P22" i="28"/>
  <c r="P22" i="29" s="1"/>
  <c r="Q22" i="28"/>
  <c r="Q22" i="29" s="1"/>
  <c r="S22" i="28"/>
  <c r="S22" i="29" s="1"/>
  <c r="T22" i="28"/>
  <c r="T22" i="29" s="1"/>
  <c r="U22" i="28"/>
  <c r="U22" i="29" s="1"/>
  <c r="V22" i="28"/>
  <c r="V22" i="29" s="1"/>
  <c r="W22" i="28"/>
  <c r="W22" i="29" s="1"/>
  <c r="X22" i="28"/>
  <c r="X22" i="29" s="1"/>
  <c r="Y22" i="28"/>
  <c r="AB22" i="28"/>
  <c r="AB22" i="29" s="1"/>
  <c r="AC22" i="28"/>
  <c r="AC22" i="29" s="1"/>
  <c r="AD22" i="28"/>
  <c r="AD22" i="29" s="1"/>
  <c r="AE22" i="28"/>
  <c r="AE22" i="29" s="1"/>
  <c r="AF22" i="28"/>
  <c r="AF22" i="29" s="1"/>
  <c r="AG22" i="28"/>
  <c r="AG22" i="29" s="1"/>
  <c r="AJ22" i="28"/>
  <c r="AJ22" i="29" s="1"/>
  <c r="AL22" i="28"/>
  <c r="AL22" i="29" s="1"/>
  <c r="F23" i="28"/>
  <c r="F23" i="29" s="1"/>
  <c r="G23" i="28"/>
  <c r="G23" i="29" s="1"/>
  <c r="H23" i="28"/>
  <c r="I23" i="28"/>
  <c r="J23" i="28"/>
  <c r="K23" i="28"/>
  <c r="K23" i="29" s="1"/>
  <c r="L23" i="28"/>
  <c r="L23" i="29" s="1"/>
  <c r="N23" i="28"/>
  <c r="N23" i="29" s="1"/>
  <c r="U23" i="28"/>
  <c r="U23" i="29" s="1"/>
  <c r="V23" i="28"/>
  <c r="V23" i="29" s="1"/>
  <c r="W23" i="28"/>
  <c r="W23" i="29" s="1"/>
  <c r="X23" i="28"/>
  <c r="X23" i="29" s="1"/>
  <c r="AB23" i="28"/>
  <c r="AB23" i="29" s="1"/>
  <c r="AC23" i="28"/>
  <c r="AC23" i="29" s="1"/>
  <c r="AD23" i="28"/>
  <c r="AD23" i="29" s="1"/>
  <c r="AE23" i="28"/>
  <c r="AE23" i="29" s="1"/>
  <c r="AG23" i="28"/>
  <c r="AG23" i="29" s="1"/>
  <c r="AL23" i="28"/>
  <c r="AL23" i="29" s="1"/>
  <c r="E24" i="28"/>
  <c r="E24" i="29" s="1"/>
  <c r="F24" i="28"/>
  <c r="F24" i="29" s="1"/>
  <c r="H24" i="28"/>
  <c r="H24" i="29" s="1"/>
  <c r="K24" i="28"/>
  <c r="K24" i="29" s="1"/>
  <c r="O24" i="28"/>
  <c r="O24" i="29" s="1"/>
  <c r="R24" i="28"/>
  <c r="R24" i="29" s="1"/>
  <c r="S24" i="28"/>
  <c r="S24" i="29" s="1"/>
  <c r="U24" i="28"/>
  <c r="U24" i="29" s="1"/>
  <c r="V24" i="28"/>
  <c r="V24" i="29" s="1"/>
  <c r="W24" i="28"/>
  <c r="W24" i="29" s="1"/>
  <c r="X24" i="28"/>
  <c r="X24" i="29" s="1"/>
  <c r="Y24" i="28"/>
  <c r="Y24" i="29" s="1"/>
  <c r="Z24" i="28"/>
  <c r="Z24" i="29" s="1"/>
  <c r="AE24" i="28"/>
  <c r="AG24" i="28"/>
  <c r="AG24" i="29" s="1"/>
  <c r="AH24" i="28"/>
  <c r="AI24" i="28"/>
  <c r="AI24" i="29" s="1"/>
  <c r="AJ24" i="28"/>
  <c r="AJ24" i="29" s="1"/>
  <c r="AK24" i="28"/>
  <c r="AL24" i="28"/>
  <c r="AL24" i="29" s="1"/>
  <c r="E25" i="28"/>
  <c r="E25" i="29" s="1"/>
  <c r="F25" i="28"/>
  <c r="F25" i="29" s="1"/>
  <c r="G25" i="28"/>
  <c r="G25" i="29" s="1"/>
  <c r="I25" i="28"/>
  <c r="I25" i="29" s="1"/>
  <c r="J25" i="28"/>
  <c r="J25" i="29" s="1"/>
  <c r="K25" i="28"/>
  <c r="K25" i="29" s="1"/>
  <c r="O25" i="28"/>
  <c r="O25" i="29" s="1"/>
  <c r="P25" i="28"/>
  <c r="P25" i="29" s="1"/>
  <c r="R25" i="28"/>
  <c r="R25" i="29" s="1"/>
  <c r="S25" i="28"/>
  <c r="T25" i="28"/>
  <c r="T25" i="29" s="1"/>
  <c r="X25" i="28"/>
  <c r="X25" i="29" s="1"/>
  <c r="Y25" i="28"/>
  <c r="Y25" i="29" s="1"/>
  <c r="Z25" i="28"/>
  <c r="Z25" i="29" s="1"/>
  <c r="AB25" i="28"/>
  <c r="AB25" i="29" s="1"/>
  <c r="AC25" i="28"/>
  <c r="AH25" i="28"/>
  <c r="AH25" i="29" s="1"/>
  <c r="AI25" i="28"/>
  <c r="AJ25" i="28"/>
  <c r="AJ25" i="29" s="1"/>
  <c r="AK25" i="28"/>
  <c r="AK25" i="29" s="1"/>
  <c r="AL25" i="28"/>
  <c r="AL25" i="29" s="1"/>
  <c r="F26" i="28"/>
  <c r="F26" i="29" s="1"/>
  <c r="G26" i="28"/>
  <c r="G26" i="29" s="1"/>
  <c r="H26" i="28"/>
  <c r="H26" i="29" s="1"/>
  <c r="I26" i="28"/>
  <c r="I26" i="29" s="1"/>
  <c r="K26" i="28"/>
  <c r="K26" i="29" s="1"/>
  <c r="L26" i="28"/>
  <c r="L26" i="29" s="1"/>
  <c r="O26" i="28"/>
  <c r="O26" i="29" s="1"/>
  <c r="S26" i="28"/>
  <c r="S26" i="29" s="1"/>
  <c r="T26" i="28"/>
  <c r="T26" i="29" s="1"/>
  <c r="V26" i="28"/>
  <c r="X26" i="28"/>
  <c r="X26" i="29" s="1"/>
  <c r="AB26" i="28"/>
  <c r="AB26" i="29" s="1"/>
  <c r="AC26" i="28"/>
  <c r="AD26" i="28"/>
  <c r="AD26" i="29" s="1"/>
  <c r="AE26" i="28"/>
  <c r="AE26" i="29" s="1"/>
  <c r="AF26" i="28"/>
  <c r="AF26" i="29" s="1"/>
  <c r="AG26" i="28"/>
  <c r="AG26" i="29" s="1"/>
  <c r="AJ26" i="28"/>
  <c r="AJ26" i="29" s="1"/>
  <c r="AL26" i="28"/>
  <c r="AL26" i="29" s="1"/>
  <c r="F27" i="28"/>
  <c r="F27" i="29" s="1"/>
  <c r="H27" i="28"/>
  <c r="H27" i="29" s="1"/>
  <c r="K27" i="28"/>
  <c r="K27" i="29" s="1"/>
  <c r="L27" i="28"/>
  <c r="L27" i="29" s="1"/>
  <c r="Q27" i="28"/>
  <c r="Q27" i="29" s="1"/>
  <c r="R27" i="28"/>
  <c r="R27" i="29" s="1"/>
  <c r="S27" i="28"/>
  <c r="S27" i="29" s="1"/>
  <c r="V27" i="28"/>
  <c r="V27" i="29" s="1"/>
  <c r="W27" i="28"/>
  <c r="W27" i="29" s="1"/>
  <c r="X27" i="28"/>
  <c r="X27" i="29" s="1"/>
  <c r="Z27" i="28"/>
  <c r="Z27" i="29" s="1"/>
  <c r="AA27" i="28"/>
  <c r="AA27" i="29" s="1"/>
  <c r="AB27" i="28"/>
  <c r="AB27" i="29" s="1"/>
  <c r="AC27" i="28"/>
  <c r="AC27" i="29" s="1"/>
  <c r="AD27" i="28"/>
  <c r="AD27" i="29" s="1"/>
  <c r="AE27" i="28"/>
  <c r="AH27" i="28"/>
  <c r="AH27" i="29" s="1"/>
  <c r="AI27" i="28"/>
  <c r="AI27" i="29" s="1"/>
  <c r="AJ27" i="28"/>
  <c r="AJ27" i="29" s="1"/>
  <c r="AK27" i="28"/>
  <c r="AK27" i="29" s="1"/>
  <c r="AL27" i="28"/>
  <c r="AL27" i="29" s="1"/>
  <c r="E28" i="28"/>
  <c r="E28" i="29" s="1"/>
  <c r="M28" i="28"/>
  <c r="N28" i="28"/>
  <c r="N28" i="29" s="1"/>
  <c r="O28" i="28"/>
  <c r="O28" i="29" s="1"/>
  <c r="P28" i="28"/>
  <c r="P28" i="29" s="1"/>
  <c r="Q28" i="28"/>
  <c r="Q28" i="29" s="1"/>
  <c r="R28" i="28"/>
  <c r="R28" i="29" s="1"/>
  <c r="X28" i="28"/>
  <c r="X28" i="29" s="1"/>
  <c r="Y28" i="28"/>
  <c r="Y28" i="29" s="1"/>
  <c r="AD28" i="28"/>
  <c r="AD28" i="29" s="1"/>
  <c r="AE28" i="28"/>
  <c r="AE28" i="29" s="1"/>
  <c r="AH28" i="28"/>
  <c r="AH28" i="29" s="1"/>
  <c r="AI28" i="28"/>
  <c r="AI28" i="29" s="1"/>
  <c r="AJ28" i="28"/>
  <c r="AJ28" i="29" s="1"/>
  <c r="AK28" i="28"/>
  <c r="AK28" i="29" s="1"/>
  <c r="AL28" i="28"/>
  <c r="AL28" i="29" s="1"/>
  <c r="E29" i="28"/>
  <c r="E29" i="29" s="1"/>
  <c r="G29" i="28"/>
  <c r="G29" i="29" s="1"/>
  <c r="H29" i="28"/>
  <c r="H29" i="29" s="1"/>
  <c r="I29" i="28"/>
  <c r="I29" i="29" s="1"/>
  <c r="J29" i="28"/>
  <c r="J29" i="29" s="1"/>
  <c r="O29" i="28"/>
  <c r="O29" i="29" s="1"/>
  <c r="P29" i="28"/>
  <c r="P29" i="29" s="1"/>
  <c r="R29" i="28"/>
  <c r="R29" i="29" s="1"/>
  <c r="S29" i="28"/>
  <c r="S29" i="29" s="1"/>
  <c r="T29" i="28"/>
  <c r="T29" i="29" s="1"/>
  <c r="W29" i="28"/>
  <c r="W29" i="29" s="1"/>
  <c r="X29" i="28"/>
  <c r="X29" i="29" s="1"/>
  <c r="Y29" i="28"/>
  <c r="Y29" i="29" s="1"/>
  <c r="Z29" i="28"/>
  <c r="Z29" i="29" s="1"/>
  <c r="AB29" i="28"/>
  <c r="AB29" i="29" s="1"/>
  <c r="AC29" i="28"/>
  <c r="AC29" i="29" s="1"/>
  <c r="AF29" i="28"/>
  <c r="AF29" i="29" s="1"/>
  <c r="AH29" i="28"/>
  <c r="AH29" i="29" s="1"/>
  <c r="AI29" i="28"/>
  <c r="AI29" i="29" s="1"/>
  <c r="AJ29" i="28"/>
  <c r="AJ29" i="29" s="1"/>
  <c r="AK29" i="28"/>
  <c r="AL29" i="28"/>
  <c r="AL29" i="29" s="1"/>
  <c r="H30" i="28"/>
  <c r="H30" i="29" s="1"/>
  <c r="I30" i="28"/>
  <c r="I30" i="29" s="1"/>
  <c r="J30" i="28"/>
  <c r="J30" i="29" s="1"/>
  <c r="K30" i="28"/>
  <c r="K30" i="29" s="1"/>
  <c r="L30" i="28"/>
  <c r="L30" i="29" s="1"/>
  <c r="M30" i="28"/>
  <c r="M30" i="29" s="1"/>
  <c r="P30" i="28"/>
  <c r="P30" i="29" s="1"/>
  <c r="Q30" i="28"/>
  <c r="Q30" i="29" s="1"/>
  <c r="R30" i="28"/>
  <c r="R30" i="29" s="1"/>
  <c r="S30" i="28"/>
  <c r="T30" i="28"/>
  <c r="T30" i="29" s="1"/>
  <c r="W30" i="28"/>
  <c r="W30" i="29" s="1"/>
  <c r="X30" i="28"/>
  <c r="X30" i="29" s="1"/>
  <c r="Y30" i="28"/>
  <c r="Y30" i="29" s="1"/>
  <c r="AA30" i="28"/>
  <c r="AA30" i="29" s="1"/>
  <c r="AB30" i="28"/>
  <c r="AB30" i="29" s="1"/>
  <c r="AD30" i="28"/>
  <c r="AD30" i="29" s="1"/>
  <c r="AE30" i="28"/>
  <c r="AE30" i="29" s="1"/>
  <c r="AF30" i="28"/>
  <c r="AF30" i="29" s="1"/>
  <c r="AH30" i="28"/>
  <c r="AH30" i="29" s="1"/>
  <c r="AI30" i="28"/>
  <c r="AI30" i="29" s="1"/>
  <c r="AJ30" i="28"/>
  <c r="AJ30" i="29" s="1"/>
  <c r="AK30" i="28"/>
  <c r="AK30" i="29" s="1"/>
  <c r="AL30" i="28"/>
  <c r="AL30" i="29" s="1"/>
  <c r="E31" i="28"/>
  <c r="E31" i="29" s="1"/>
  <c r="I31" i="28"/>
  <c r="K31" i="28"/>
  <c r="K31" i="29" s="1"/>
  <c r="M31" i="28"/>
  <c r="M31" i="29" s="1"/>
  <c r="N31" i="28"/>
  <c r="N31" i="29" s="1"/>
  <c r="O31" i="28"/>
  <c r="O31" i="29" s="1"/>
  <c r="U31" i="28"/>
  <c r="U31" i="29" s="1"/>
  <c r="V31" i="28"/>
  <c r="V31" i="29" s="1"/>
  <c r="W31" i="28"/>
  <c r="W31" i="29" s="1"/>
  <c r="X31" i="28"/>
  <c r="X31" i="29" s="1"/>
  <c r="AA31" i="28"/>
  <c r="AA31" i="29" s="1"/>
  <c r="AB31" i="28"/>
  <c r="AB31" i="29" s="1"/>
  <c r="AC31" i="28"/>
  <c r="AC31" i="29" s="1"/>
  <c r="AD31" i="28"/>
  <c r="AD31" i="29" s="1"/>
  <c r="AE31" i="28"/>
  <c r="AE31" i="29" s="1"/>
  <c r="AF31" i="28"/>
  <c r="AF31" i="29" s="1"/>
  <c r="AG31" i="28"/>
  <c r="AG31" i="29" s="1"/>
  <c r="AH31" i="28"/>
  <c r="AH31" i="29" s="1"/>
  <c r="E32" i="28"/>
  <c r="E32" i="29" s="1"/>
  <c r="H32" i="28"/>
  <c r="H32" i="29" s="1"/>
  <c r="I32" i="28"/>
  <c r="I32" i="29" s="1"/>
  <c r="J32" i="28"/>
  <c r="J32" i="29" s="1"/>
  <c r="L32" i="28"/>
  <c r="L32" i="29" s="1"/>
  <c r="M32" i="28"/>
  <c r="M32" i="29" s="1"/>
  <c r="N32" i="28"/>
  <c r="N32" i="29" s="1"/>
  <c r="U32" i="28"/>
  <c r="U32" i="29" s="1"/>
  <c r="V32" i="28"/>
  <c r="V32" i="29" s="1"/>
  <c r="W32" i="28"/>
  <c r="W32" i="29" s="1"/>
  <c r="X32" i="28"/>
  <c r="X32" i="29" s="1"/>
  <c r="AA32" i="28"/>
  <c r="AA32" i="29" s="1"/>
  <c r="AB32" i="28"/>
  <c r="AB32" i="29" s="1"/>
  <c r="AC32" i="28"/>
  <c r="AC32" i="29" s="1"/>
  <c r="AD32" i="28"/>
  <c r="AD32" i="29" s="1"/>
  <c r="AE32" i="28"/>
  <c r="AE32" i="29" s="1"/>
  <c r="AF32" i="28"/>
  <c r="AF32" i="29" s="1"/>
  <c r="AG32" i="28"/>
  <c r="AG32" i="29" s="1"/>
  <c r="AL32" i="28"/>
  <c r="AL32" i="29" s="1"/>
  <c r="AJ33" i="21"/>
  <c r="AK33" i="21"/>
  <c r="AJ34" i="21"/>
  <c r="AJ35" i="21" s="1"/>
  <c r="AK34" i="21"/>
  <c r="AK35" i="21" s="1"/>
  <c r="AJ37" i="21"/>
  <c r="AK37" i="21"/>
  <c r="AJ38" i="21"/>
  <c r="AK38" i="21"/>
  <c r="AJ39" i="21"/>
  <c r="AK39" i="21"/>
  <c r="AJ40" i="21"/>
  <c r="AK40" i="21"/>
  <c r="AJ41" i="21"/>
  <c r="AK41" i="21"/>
  <c r="AJ42" i="21"/>
  <c r="AK42" i="21"/>
  <c r="AJ43" i="21"/>
  <c r="AK43" i="21"/>
  <c r="AJ44" i="21"/>
  <c r="AK44" i="21"/>
  <c r="AJ45" i="21"/>
  <c r="AK45" i="21"/>
  <c r="AJ46" i="21"/>
  <c r="AK46" i="21"/>
  <c r="AJ47" i="21"/>
  <c r="AK47" i="21"/>
  <c r="AJ48" i="21"/>
  <c r="AK48" i="21"/>
  <c r="D7" i="28"/>
  <c r="D8" i="28"/>
  <c r="D9" i="28"/>
  <c r="D10" i="28"/>
  <c r="D11" i="28"/>
  <c r="D12" i="28"/>
  <c r="D12" i="29" s="1"/>
  <c r="L12" i="29"/>
  <c r="M12" i="29"/>
  <c r="U12" i="29"/>
  <c r="K13" i="29"/>
  <c r="AA13" i="29"/>
  <c r="D14" i="28"/>
  <c r="D14" i="29" s="1"/>
  <c r="D16" i="28"/>
  <c r="D16" i="29" s="1"/>
  <c r="D17" i="28"/>
  <c r="D17" i="29" s="1"/>
  <c r="D18" i="28"/>
  <c r="D18" i="29" s="1"/>
  <c r="I18" i="29"/>
  <c r="P18" i="29"/>
  <c r="Y18" i="29"/>
  <c r="D19" i="28"/>
  <c r="D19" i="29" s="1"/>
  <c r="AE19" i="29"/>
  <c r="D20" i="28"/>
  <c r="D20" i="29" s="1"/>
  <c r="U20" i="29"/>
  <c r="AC20" i="29"/>
  <c r="D22" i="28"/>
  <c r="D22" i="29" s="1"/>
  <c r="I22" i="29"/>
  <c r="Y22" i="29"/>
  <c r="D24" i="28"/>
  <c r="D24" i="29" s="1"/>
  <c r="AK24" i="29"/>
  <c r="AI25" i="29"/>
  <c r="D27" i="28"/>
  <c r="D27" i="29" s="1"/>
  <c r="AE27" i="29"/>
  <c r="D28" i="28"/>
  <c r="D28" i="29" s="1"/>
  <c r="M28" i="29"/>
  <c r="D31" i="28"/>
  <c r="D31" i="29" s="1"/>
  <c r="B32" i="28"/>
  <c r="B6" i="28"/>
  <c r="B7" i="28" s="1"/>
  <c r="B8" i="28" s="1"/>
  <c r="B9" i="28" s="1"/>
  <c r="B10" i="28" s="1"/>
  <c r="B11" i="28" s="1"/>
  <c r="B12" i="28" s="1"/>
  <c r="B13" i="28" s="1"/>
  <c r="B14" i="28" s="1"/>
  <c r="B15" i="28" s="1"/>
  <c r="B16" i="28" s="1"/>
  <c r="B17" i="28" s="1"/>
  <c r="B18" i="28" s="1"/>
  <c r="B19" i="28" s="1"/>
  <c r="B20" i="28" s="1"/>
  <c r="B21" i="28" s="1"/>
  <c r="B22" i="28" s="1"/>
  <c r="B23" i="28" s="1"/>
  <c r="B24" i="28" s="1"/>
  <c r="B25" i="28" s="1"/>
  <c r="B26" i="28" s="1"/>
  <c r="B27" i="28" s="1"/>
  <c r="B28" i="28" s="1"/>
  <c r="B29" i="28" s="1"/>
  <c r="B30" i="28" s="1"/>
  <c r="B31" i="28" s="1"/>
  <c r="B5" i="28"/>
  <c r="H23" i="29"/>
  <c r="I23" i="29"/>
  <c r="J23" i="29"/>
  <c r="AE24" i="29"/>
  <c r="AH24" i="29"/>
  <c r="S25" i="29"/>
  <c r="AC25" i="29"/>
  <c r="V26" i="29"/>
  <c r="AC26" i="29"/>
  <c r="AK29" i="29"/>
  <c r="S30" i="29"/>
  <c r="I31" i="29"/>
  <c r="C23" i="29"/>
  <c r="C24" i="29"/>
  <c r="C25" i="29"/>
  <c r="C26" i="29"/>
  <c r="C27" i="29"/>
  <c r="C28" i="29"/>
  <c r="C29" i="29"/>
  <c r="C30" i="29"/>
  <c r="C31" i="29"/>
  <c r="C32" i="29"/>
  <c r="B5" i="29"/>
  <c r="B6" i="29" s="1"/>
  <c r="B7" i="29" s="1"/>
  <c r="B8" i="29" s="1"/>
  <c r="B9" i="29" s="1"/>
  <c r="B10" i="29" s="1"/>
  <c r="B11" i="29" s="1"/>
  <c r="B12" i="29" s="1"/>
  <c r="B13" i="29" s="1"/>
  <c r="B14" i="29" s="1"/>
  <c r="B15" i="29" s="1"/>
  <c r="B16" i="29" s="1"/>
  <c r="B17" i="29" s="1"/>
  <c r="B18" i="29" s="1"/>
  <c r="B19" i="29" s="1"/>
  <c r="B20" i="29" s="1"/>
  <c r="B21" i="29" s="1"/>
  <c r="B22" i="29" s="1"/>
  <c r="B23" i="29" s="1"/>
  <c r="B24" i="29" s="1"/>
  <c r="B25" i="29" s="1"/>
  <c r="B26" i="29" s="1"/>
  <c r="B27" i="29" s="1"/>
  <c r="B28" i="29" s="1"/>
  <c r="B29" i="29" s="1"/>
  <c r="B30" i="29" s="1"/>
  <c r="B31" i="29" s="1"/>
  <c r="B32" i="29" s="1"/>
  <c r="C12" i="29"/>
  <c r="F12" i="29"/>
  <c r="V12" i="29"/>
  <c r="W12" i="29"/>
  <c r="AE12" i="29"/>
  <c r="C13" i="29"/>
  <c r="E13" i="29"/>
  <c r="S13" i="29"/>
  <c r="AE13" i="29"/>
  <c r="AK13" i="29"/>
  <c r="C14" i="29"/>
  <c r="J14" i="29"/>
  <c r="Q14" i="29"/>
  <c r="R14" i="29"/>
  <c r="S14" i="29"/>
  <c r="AC14" i="29"/>
  <c r="C15" i="29"/>
  <c r="K15" i="29"/>
  <c r="L15" i="29"/>
  <c r="S15" i="29"/>
  <c r="C16" i="29"/>
  <c r="N16" i="29"/>
  <c r="P16" i="29"/>
  <c r="Q16" i="29"/>
  <c r="AD16" i="29"/>
  <c r="AG16" i="29"/>
  <c r="C17" i="29"/>
  <c r="L17" i="29"/>
  <c r="N17" i="29"/>
  <c r="O17" i="29"/>
  <c r="T17" i="29"/>
  <c r="U17" i="29"/>
  <c r="W17" i="29"/>
  <c r="AA17" i="29"/>
  <c r="AD17" i="29"/>
  <c r="C18" i="29"/>
  <c r="L18" i="29"/>
  <c r="M18" i="29"/>
  <c r="R18" i="29"/>
  <c r="U18" i="29"/>
  <c r="AH18" i="29"/>
  <c r="AK18" i="29"/>
  <c r="C19" i="29"/>
  <c r="X19" i="29"/>
  <c r="AH19" i="29"/>
  <c r="C20" i="29"/>
  <c r="F20" i="29"/>
  <c r="G20" i="29"/>
  <c r="O20" i="29"/>
  <c r="V20" i="29"/>
  <c r="W20" i="29"/>
  <c r="AE20" i="29"/>
  <c r="C21" i="29"/>
  <c r="F21" i="29"/>
  <c r="AJ21" i="29"/>
  <c r="C22" i="29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O31" i="2"/>
  <c r="P31" i="2"/>
  <c r="P3" i="2"/>
  <c r="O3" i="2"/>
  <c r="Q16" i="2"/>
  <c r="CB5" i="21"/>
  <c r="CB6" i="21" s="1"/>
  <c r="CB7" i="21" s="1"/>
  <c r="CB8" i="21" s="1"/>
  <c r="CB9" i="21" s="1"/>
  <c r="CB10" i="21" s="1"/>
  <c r="CB11" i="21" s="1"/>
  <c r="CB12" i="21" s="1"/>
  <c r="CB13" i="21" s="1"/>
  <c r="CB14" i="21" s="1"/>
  <c r="CB15" i="21" s="1"/>
  <c r="CB16" i="21" s="1"/>
  <c r="CB17" i="21" s="1"/>
  <c r="CB18" i="21" s="1"/>
  <c r="CB19" i="21" s="1"/>
  <c r="CB20" i="21" s="1"/>
  <c r="CB21" i="21" s="1"/>
  <c r="CB22" i="21" s="1"/>
  <c r="CB23" i="21" s="1"/>
  <c r="CB24" i="21" s="1"/>
  <c r="CB25" i="21" s="1"/>
  <c r="CB26" i="21" s="1"/>
  <c r="CB27" i="21" s="1"/>
  <c r="CB28" i="21" s="1"/>
  <c r="CB29" i="21" s="1"/>
  <c r="CB30" i="21" s="1"/>
  <c r="CB31" i="21" s="1"/>
  <c r="CB32" i="21" s="1"/>
  <c r="AL24" i="21"/>
  <c r="AW24" i="21"/>
  <c r="AL25" i="21"/>
  <c r="AV25" i="21"/>
  <c r="AZ25" i="21"/>
  <c r="AL26" i="21"/>
  <c r="AU26" i="21"/>
  <c r="AX26" i="21"/>
  <c r="AL27" i="21"/>
  <c r="AL28" i="21"/>
  <c r="AL29" i="21"/>
  <c r="AL30" i="21"/>
  <c r="AL31" i="21"/>
  <c r="AL32" i="21"/>
  <c r="Q23" i="2"/>
  <c r="T23" i="2"/>
  <c r="AG23" i="2"/>
  <c r="AH23" i="2"/>
  <c r="AI23" i="2"/>
  <c r="AL23" i="2"/>
  <c r="A24" i="21" s="1"/>
  <c r="AO24" i="21" s="1"/>
  <c r="AM23" i="2"/>
  <c r="AP24" i="21" s="1"/>
  <c r="AN23" i="2"/>
  <c r="AQ24" i="21" s="1"/>
  <c r="AO23" i="2"/>
  <c r="AR24" i="21" s="1"/>
  <c r="AP23" i="2"/>
  <c r="AS24" i="21" s="1"/>
  <c r="AQ23" i="2"/>
  <c r="AT24" i="21" s="1"/>
  <c r="AR23" i="2"/>
  <c r="AU24" i="21" s="1"/>
  <c r="AS23" i="2"/>
  <c r="AV24" i="21" s="1"/>
  <c r="AT23" i="2"/>
  <c r="AU23" i="2"/>
  <c r="AX24" i="21" s="1"/>
  <c r="AV23" i="2"/>
  <c r="AY24" i="21" s="1"/>
  <c r="AW23" i="2"/>
  <c r="AZ24" i="21" s="1"/>
  <c r="AX23" i="2"/>
  <c r="BA24" i="21" s="1"/>
  <c r="Q24" i="2"/>
  <c r="T24" i="2"/>
  <c r="AG24" i="2"/>
  <c r="AH24" i="2"/>
  <c r="AI24" i="2" s="1"/>
  <c r="AL24" i="2"/>
  <c r="A25" i="21" s="1"/>
  <c r="AO25" i="21" s="1"/>
  <c r="AM24" i="2"/>
  <c r="AP25" i="21" s="1"/>
  <c r="AN24" i="2"/>
  <c r="AQ25" i="21" s="1"/>
  <c r="AO24" i="2"/>
  <c r="AR25" i="21" s="1"/>
  <c r="AP24" i="2"/>
  <c r="AS25" i="21" s="1"/>
  <c r="AQ24" i="2"/>
  <c r="AT25" i="21" s="1"/>
  <c r="AR24" i="2"/>
  <c r="AU25" i="21" s="1"/>
  <c r="AS24" i="2"/>
  <c r="AT24" i="2"/>
  <c r="AW25" i="21" s="1"/>
  <c r="AU24" i="2"/>
  <c r="AX25" i="21" s="1"/>
  <c r="AV24" i="2"/>
  <c r="AY25" i="21" s="1"/>
  <c r="AW24" i="2"/>
  <c r="AX24" i="2"/>
  <c r="BA25" i="21" s="1"/>
  <c r="Q25" i="2"/>
  <c r="T25" i="2"/>
  <c r="AG25" i="2"/>
  <c r="AH25" i="2"/>
  <c r="AI25" i="2" s="1"/>
  <c r="AL25" i="2"/>
  <c r="A26" i="21" s="1"/>
  <c r="AO26" i="21" s="1"/>
  <c r="AM25" i="2"/>
  <c r="AP26" i="21" s="1"/>
  <c r="AN25" i="2"/>
  <c r="AQ26" i="21" s="1"/>
  <c r="AO25" i="2"/>
  <c r="AR26" i="21" s="1"/>
  <c r="AP25" i="2"/>
  <c r="AS26" i="21" s="1"/>
  <c r="AQ25" i="2"/>
  <c r="AT26" i="21" s="1"/>
  <c r="AR25" i="2"/>
  <c r="AS25" i="2"/>
  <c r="AV26" i="21" s="1"/>
  <c r="AT25" i="2"/>
  <c r="AW26" i="21" s="1"/>
  <c r="AU25" i="2"/>
  <c r="AV25" i="2"/>
  <c r="AY26" i="21" s="1"/>
  <c r="AW25" i="2"/>
  <c r="AZ26" i="21" s="1"/>
  <c r="AX25" i="2"/>
  <c r="BA26" i="21" s="1"/>
  <c r="AC34" i="21"/>
  <c r="Z34" i="21"/>
  <c r="AL11" i="28" l="1"/>
  <c r="AL11" i="29" s="1"/>
  <c r="Y17" i="28"/>
  <c r="Y17" i="29" s="1"/>
  <c r="Q5" i="28"/>
  <c r="H25" i="28"/>
  <c r="H25" i="29" s="1"/>
  <c r="AF17" i="28"/>
  <c r="AF17" i="29" s="1"/>
  <c r="X5" i="28"/>
  <c r="D13" i="28"/>
  <c r="D13" i="29" s="1"/>
  <c r="F11" i="28"/>
  <c r="Z9" i="28"/>
  <c r="P13" i="28"/>
  <c r="P13" i="29" s="1"/>
  <c r="AE25" i="28"/>
  <c r="AE25" i="29" s="1"/>
  <c r="W13" i="28"/>
  <c r="W13" i="29" s="1"/>
  <c r="S11" i="28"/>
  <c r="O9" i="28"/>
  <c r="J27" i="28"/>
  <c r="J27" i="29" s="1"/>
  <c r="AD25" i="28"/>
  <c r="AD25" i="29" s="1"/>
  <c r="N25" i="28"/>
  <c r="N25" i="29" s="1"/>
  <c r="U25" i="28"/>
  <c r="U25" i="29" s="1"/>
  <c r="I19" i="28"/>
  <c r="I19" i="29" s="1"/>
  <c r="E9" i="28"/>
  <c r="M27" i="28"/>
  <c r="M27" i="29" s="1"/>
  <c r="V25" i="28"/>
  <c r="V25" i="29" s="1"/>
  <c r="R19" i="28"/>
  <c r="R19" i="29" s="1"/>
  <c r="AH14" i="28"/>
  <c r="AH14" i="29" s="1"/>
  <c r="AB5" i="28"/>
  <c r="L5" i="28"/>
  <c r="AC11" i="28"/>
  <c r="G27" i="28"/>
  <c r="G27" i="29" s="1"/>
  <c r="AG14" i="28"/>
  <c r="AG14" i="29" s="1"/>
  <c r="AA9" i="28"/>
  <c r="AI5" i="28"/>
  <c r="AK49" i="21"/>
  <c r="AJ49" i="21"/>
  <c r="C26" i="28"/>
  <c r="C25" i="28"/>
  <c r="C24" i="28"/>
  <c r="AY24" i="2"/>
  <c r="B25" i="21" s="1"/>
  <c r="AY25" i="2"/>
  <c r="B26" i="21" s="1"/>
  <c r="AY23" i="2"/>
  <c r="B24" i="21" s="1"/>
  <c r="D20" i="31"/>
  <c r="E20" i="31"/>
  <c r="F20" i="31"/>
  <c r="G20" i="31"/>
  <c r="H20" i="31"/>
  <c r="I20" i="31"/>
  <c r="J20" i="31"/>
  <c r="K20" i="31"/>
  <c r="L20" i="31"/>
  <c r="M20" i="31"/>
  <c r="N20" i="31"/>
  <c r="O20" i="31"/>
  <c r="D40" i="31"/>
  <c r="E40" i="31"/>
  <c r="F40" i="31"/>
  <c r="G40" i="31"/>
  <c r="H40" i="31"/>
  <c r="I40" i="31"/>
  <c r="J40" i="31"/>
  <c r="K40" i="31"/>
  <c r="L40" i="31"/>
  <c r="M40" i="31"/>
  <c r="N40" i="31"/>
  <c r="O40" i="31"/>
  <c r="B22" i="31"/>
  <c r="R22" i="31"/>
  <c r="AH22" i="31"/>
  <c r="B41" i="31"/>
  <c r="R41" i="31"/>
  <c r="AW63" i="31"/>
  <c r="AW64" i="31"/>
  <c r="AW65" i="31"/>
  <c r="AW62" i="31"/>
  <c r="AW49" i="31"/>
  <c r="AW48" i="31"/>
  <c r="AW34" i="31"/>
  <c r="AW66" i="31"/>
  <c r="AW6" i="31"/>
  <c r="AY7" i="31"/>
  <c r="AY8" i="31"/>
  <c r="AY9" i="31"/>
  <c r="AY10" i="31"/>
  <c r="AY11" i="31"/>
  <c r="AY12" i="31"/>
  <c r="AY13" i="31"/>
  <c r="AY14" i="31"/>
  <c r="AY15" i="31"/>
  <c r="AY16" i="31"/>
  <c r="AY17" i="31"/>
  <c r="AY18" i="31"/>
  <c r="AY19" i="31"/>
  <c r="AY20" i="31"/>
  <c r="AY21" i="31"/>
  <c r="AY22" i="31"/>
  <c r="AY23" i="31"/>
  <c r="AY24" i="31"/>
  <c r="AY25" i="31"/>
  <c r="AY26" i="31"/>
  <c r="AY27" i="31"/>
  <c r="AY28" i="31"/>
  <c r="AY29" i="31"/>
  <c r="AY30" i="31"/>
  <c r="AY31" i="31"/>
  <c r="AY32" i="31"/>
  <c r="AY33" i="31"/>
  <c r="AY6" i="31"/>
  <c r="AX6" i="31"/>
  <c r="T25" i="31"/>
  <c r="U25" i="31" s="1"/>
  <c r="V25" i="31" s="1"/>
  <c r="W25" i="31" s="1"/>
  <c r="X25" i="31" s="1"/>
  <c r="Y25" i="31" s="1"/>
  <c r="Z25" i="31" s="1"/>
  <c r="AA25" i="31" s="1"/>
  <c r="AB25" i="31" s="1"/>
  <c r="AC25" i="31" s="1"/>
  <c r="AD25" i="31" s="1"/>
  <c r="AE25" i="31" s="1"/>
  <c r="D25" i="31"/>
  <c r="E25" i="31" s="1"/>
  <c r="F25" i="31" s="1"/>
  <c r="G25" i="31" s="1"/>
  <c r="H25" i="31" s="1"/>
  <c r="I25" i="31" s="1"/>
  <c r="J25" i="31" s="1"/>
  <c r="K25" i="31" s="1"/>
  <c r="L25" i="31" s="1"/>
  <c r="M25" i="31" s="1"/>
  <c r="N25" i="31" s="1"/>
  <c r="O25" i="31" s="1"/>
  <c r="AJ6" i="31"/>
  <c r="T6" i="31"/>
  <c r="D6" i="31"/>
  <c r="E6" i="31" s="1"/>
  <c r="F6" i="31" s="1"/>
  <c r="G6" i="31" s="1"/>
  <c r="H6" i="31" s="1"/>
  <c r="I6" i="31" s="1"/>
  <c r="J6" i="31" s="1"/>
  <c r="K6" i="31" s="1"/>
  <c r="L6" i="31" s="1"/>
  <c r="M6" i="31" s="1"/>
  <c r="N6" i="31" s="1"/>
  <c r="O6" i="31" s="1"/>
  <c r="AW50" i="31" l="1"/>
  <c r="AW8" i="31"/>
  <c r="AW7" i="31"/>
  <c r="AK6" i="31"/>
  <c r="U6" i="31"/>
  <c r="AW51" i="31" l="1"/>
  <c r="AW67" i="31"/>
  <c r="AW9" i="31"/>
  <c r="AL6" i="31"/>
  <c r="V6" i="31"/>
  <c r="AW52" i="31" l="1"/>
  <c r="AW68" i="31"/>
  <c r="AW10" i="31"/>
  <c r="AM6" i="31"/>
  <c r="W6" i="31"/>
  <c r="AW53" i="31" l="1"/>
  <c r="AW69" i="31"/>
  <c r="AW11" i="31"/>
  <c r="AN6" i="31"/>
  <c r="X6" i="31"/>
  <c r="AW54" i="31" l="1"/>
  <c r="AW70" i="31"/>
  <c r="AW12" i="31"/>
  <c r="AO6" i="31"/>
  <c r="Y6" i="31"/>
  <c r="AW55" i="31" l="1"/>
  <c r="AW71" i="31"/>
  <c r="AW13" i="31"/>
  <c r="AP6" i="31"/>
  <c r="Z6" i="31"/>
  <c r="AW56" i="31" l="1"/>
  <c r="AW72" i="31"/>
  <c r="AW14" i="31"/>
  <c r="AQ6" i="31"/>
  <c r="AA6" i="31"/>
  <c r="AW57" i="31" l="1"/>
  <c r="AW73" i="31"/>
  <c r="AW15" i="31"/>
  <c r="AR6" i="31"/>
  <c r="AB6" i="31"/>
  <c r="AW58" i="31" l="1"/>
  <c r="AW74" i="31"/>
  <c r="AA39" i="31"/>
  <c r="AB39" i="31"/>
  <c r="Z39" i="31"/>
  <c r="T39" i="31"/>
  <c r="X39" i="31"/>
  <c r="S39" i="31"/>
  <c r="V39" i="31"/>
  <c r="Y39" i="31"/>
  <c r="U39" i="31"/>
  <c r="W39" i="31"/>
  <c r="AW16" i="31"/>
  <c r="AS6" i="31"/>
  <c r="AC6" i="31"/>
  <c r="AC39" i="31" s="1"/>
  <c r="AW59" i="31" l="1"/>
  <c r="AW75" i="31"/>
  <c r="U40" i="31"/>
  <c r="AA40" i="31"/>
  <c r="S40" i="31"/>
  <c r="AB40" i="31"/>
  <c r="Y40" i="31"/>
  <c r="T40" i="31"/>
  <c r="X40" i="31"/>
  <c r="Z40" i="31"/>
  <c r="W40" i="31"/>
  <c r="AC40" i="31"/>
  <c r="V40" i="31"/>
  <c r="AW17" i="31"/>
  <c r="AT6" i="31"/>
  <c r="AD6" i="31"/>
  <c r="AD39" i="31" s="1"/>
  <c r="AD33" i="21"/>
  <c r="AD34" i="21"/>
  <c r="AD40" i="31" l="1"/>
  <c r="AW60" i="31"/>
  <c r="AW18" i="31"/>
  <c r="C20" i="31"/>
  <c r="AU6" i="31"/>
  <c r="AE6" i="31"/>
  <c r="AE39" i="31" l="1"/>
  <c r="AE40" i="31"/>
  <c r="AW61" i="31"/>
  <c r="C40" i="31"/>
  <c r="AW19" i="31"/>
  <c r="AL18" i="21"/>
  <c r="AL19" i="21"/>
  <c r="AL20" i="21"/>
  <c r="AL21" i="21"/>
  <c r="AL22" i="21"/>
  <c r="AL23" i="21"/>
  <c r="AG17" i="2"/>
  <c r="AH17" i="2"/>
  <c r="AL17" i="2"/>
  <c r="A18" i="21" s="1"/>
  <c r="C18" i="28" s="1"/>
  <c r="AM17" i="2"/>
  <c r="AP18" i="21" s="1"/>
  <c r="AN17" i="2"/>
  <c r="AQ18" i="21" s="1"/>
  <c r="AO17" i="2"/>
  <c r="AR18" i="21" s="1"/>
  <c r="AP17" i="2"/>
  <c r="AS18" i="21" s="1"/>
  <c r="AQ17" i="2"/>
  <c r="AT18" i="21" s="1"/>
  <c r="AR17" i="2"/>
  <c r="AU18" i="21" s="1"/>
  <c r="AS17" i="2"/>
  <c r="AV18" i="21" s="1"/>
  <c r="AT17" i="2"/>
  <c r="AW18" i="21" s="1"/>
  <c r="AU17" i="2"/>
  <c r="AX18" i="21" s="1"/>
  <c r="AV17" i="2"/>
  <c r="AW17" i="2"/>
  <c r="AZ18" i="21" s="1"/>
  <c r="AX17" i="2"/>
  <c r="BA18" i="21" s="1"/>
  <c r="AG18" i="2"/>
  <c r="AH18" i="2"/>
  <c r="AL18" i="2"/>
  <c r="A19" i="21" s="1"/>
  <c r="C19" i="28" s="1"/>
  <c r="AM18" i="2"/>
  <c r="AP19" i="21" s="1"/>
  <c r="AN18" i="2"/>
  <c r="AQ19" i="21" s="1"/>
  <c r="AO18" i="2"/>
  <c r="AR19" i="21" s="1"/>
  <c r="AP18" i="2"/>
  <c r="AS19" i="21" s="1"/>
  <c r="AQ18" i="2"/>
  <c r="AT19" i="21" s="1"/>
  <c r="AR18" i="2"/>
  <c r="AU19" i="21" s="1"/>
  <c r="AS18" i="2"/>
  <c r="AV19" i="21" s="1"/>
  <c r="AT18" i="2"/>
  <c r="AW19" i="21" s="1"/>
  <c r="AU18" i="2"/>
  <c r="AX19" i="21" s="1"/>
  <c r="AV18" i="2"/>
  <c r="AY19" i="21" s="1"/>
  <c r="AW18" i="2"/>
  <c r="AX18" i="2"/>
  <c r="BA19" i="21" s="1"/>
  <c r="AG19" i="2"/>
  <c r="AH19" i="2"/>
  <c r="AL19" i="2"/>
  <c r="A20" i="21" s="1"/>
  <c r="C20" i="28" s="1"/>
  <c r="AM19" i="2"/>
  <c r="AP20" i="21" s="1"/>
  <c r="AN19" i="2"/>
  <c r="AQ20" i="21" s="1"/>
  <c r="AO19" i="2"/>
  <c r="AR20" i="21" s="1"/>
  <c r="AP19" i="2"/>
  <c r="AS20" i="21" s="1"/>
  <c r="AQ19" i="2"/>
  <c r="AT20" i="21" s="1"/>
  <c r="AR19" i="2"/>
  <c r="AU20" i="21" s="1"/>
  <c r="AS19" i="2"/>
  <c r="AV20" i="21" s="1"/>
  <c r="AT19" i="2"/>
  <c r="AW20" i="21" s="1"/>
  <c r="AU19" i="2"/>
  <c r="AX20" i="21" s="1"/>
  <c r="AV19" i="2"/>
  <c r="AY20" i="21" s="1"/>
  <c r="AW19" i="2"/>
  <c r="AZ20" i="21" s="1"/>
  <c r="AX19" i="2"/>
  <c r="AG20" i="2"/>
  <c r="AH20" i="2"/>
  <c r="AL20" i="2"/>
  <c r="A21" i="21" s="1"/>
  <c r="C21" i="28" s="1"/>
  <c r="AM20" i="2"/>
  <c r="AP21" i="21" s="1"/>
  <c r="AN20" i="2"/>
  <c r="AQ21" i="21" s="1"/>
  <c r="AO20" i="2"/>
  <c r="AR21" i="21" s="1"/>
  <c r="AP20" i="2"/>
  <c r="AS21" i="21" s="1"/>
  <c r="AQ20" i="2"/>
  <c r="AT21" i="21" s="1"/>
  <c r="AR20" i="2"/>
  <c r="AU21" i="21" s="1"/>
  <c r="AS20" i="2"/>
  <c r="AV21" i="21" s="1"/>
  <c r="AT20" i="2"/>
  <c r="AW21" i="21" s="1"/>
  <c r="AU20" i="2"/>
  <c r="AX21" i="21" s="1"/>
  <c r="AV20" i="2"/>
  <c r="AY21" i="21" s="1"/>
  <c r="AW20" i="2"/>
  <c r="AZ21" i="21" s="1"/>
  <c r="AX20" i="2"/>
  <c r="BA21" i="21" s="1"/>
  <c r="AG21" i="2"/>
  <c r="AH21" i="2"/>
  <c r="AL21" i="2"/>
  <c r="A22" i="21" s="1"/>
  <c r="C22" i="28" s="1"/>
  <c r="AM21" i="2"/>
  <c r="AP22" i="21" s="1"/>
  <c r="AN21" i="2"/>
  <c r="AO21" i="2"/>
  <c r="AR22" i="21" s="1"/>
  <c r="AP21" i="2"/>
  <c r="AS22" i="21" s="1"/>
  <c r="AQ21" i="2"/>
  <c r="AT22" i="21" s="1"/>
  <c r="AR21" i="2"/>
  <c r="AU22" i="21" s="1"/>
  <c r="AS21" i="2"/>
  <c r="AV22" i="21" s="1"/>
  <c r="AT21" i="2"/>
  <c r="AW22" i="21" s="1"/>
  <c r="AU21" i="2"/>
  <c r="AX22" i="21" s="1"/>
  <c r="AV21" i="2"/>
  <c r="AW21" i="2"/>
  <c r="AZ22" i="21" s="1"/>
  <c r="AX21" i="2"/>
  <c r="BA22" i="21" s="1"/>
  <c r="AG22" i="2"/>
  <c r="AH22" i="2"/>
  <c r="AL22" i="2"/>
  <c r="A23" i="21" s="1"/>
  <c r="C23" i="28" s="1"/>
  <c r="AM22" i="2"/>
  <c r="AN22" i="2"/>
  <c r="AO22" i="2"/>
  <c r="AP22" i="2"/>
  <c r="AQ22" i="2"/>
  <c r="AR22" i="2"/>
  <c r="AS22" i="2"/>
  <c r="AT22" i="2"/>
  <c r="AU22" i="2"/>
  <c r="AV22" i="2"/>
  <c r="AW22" i="2"/>
  <c r="AX22" i="2"/>
  <c r="AG26" i="2"/>
  <c r="AH26" i="2"/>
  <c r="AL26" i="2"/>
  <c r="A27" i="21" s="1"/>
  <c r="AM26" i="2"/>
  <c r="AP27" i="21" s="1"/>
  <c r="AN26" i="2"/>
  <c r="AQ27" i="21" s="1"/>
  <c r="AO26" i="2"/>
  <c r="AR27" i="21" s="1"/>
  <c r="AP26" i="2"/>
  <c r="AS27" i="21" s="1"/>
  <c r="AQ26" i="2"/>
  <c r="AT27" i="21" s="1"/>
  <c r="AR26" i="2"/>
  <c r="AU27" i="21" s="1"/>
  <c r="AS26" i="2"/>
  <c r="AV27" i="21" s="1"/>
  <c r="AT26" i="2"/>
  <c r="AW27" i="21" s="1"/>
  <c r="AU26" i="2"/>
  <c r="AX27" i="21" s="1"/>
  <c r="AV26" i="2"/>
  <c r="AY27" i="21" s="1"/>
  <c r="AW26" i="2"/>
  <c r="AZ27" i="21" s="1"/>
  <c r="AX26" i="2"/>
  <c r="BA27" i="21" s="1"/>
  <c r="AG27" i="2"/>
  <c r="AH27" i="2"/>
  <c r="AL27" i="2"/>
  <c r="A28" i="21" s="1"/>
  <c r="AM27" i="2"/>
  <c r="AP28" i="21" s="1"/>
  <c r="AN27" i="2"/>
  <c r="AQ28" i="21" s="1"/>
  <c r="AO27" i="2"/>
  <c r="AR28" i="21" s="1"/>
  <c r="AP27" i="2"/>
  <c r="AS28" i="21" s="1"/>
  <c r="AQ27" i="2"/>
  <c r="AT28" i="21" s="1"/>
  <c r="AR27" i="2"/>
  <c r="AU28" i="21" s="1"/>
  <c r="AS27" i="2"/>
  <c r="AV28" i="21" s="1"/>
  <c r="AT27" i="2"/>
  <c r="AW28" i="21" s="1"/>
  <c r="AU27" i="2"/>
  <c r="AX28" i="21" s="1"/>
  <c r="AV27" i="2"/>
  <c r="AY28" i="21" s="1"/>
  <c r="AW27" i="2"/>
  <c r="AZ28" i="21" s="1"/>
  <c r="AX27" i="2"/>
  <c r="BA28" i="21" s="1"/>
  <c r="AG28" i="2"/>
  <c r="AH28" i="2"/>
  <c r="AL28" i="2"/>
  <c r="A29" i="21" s="1"/>
  <c r="AM28" i="2"/>
  <c r="AP29" i="21" s="1"/>
  <c r="AN28" i="2"/>
  <c r="AQ29" i="21" s="1"/>
  <c r="AO28" i="2"/>
  <c r="AR29" i="21" s="1"/>
  <c r="AP28" i="2"/>
  <c r="AS29" i="21" s="1"/>
  <c r="AQ28" i="2"/>
  <c r="AT29" i="21" s="1"/>
  <c r="AR28" i="2"/>
  <c r="AU29" i="21" s="1"/>
  <c r="AS28" i="2"/>
  <c r="AV29" i="21" s="1"/>
  <c r="AT28" i="2"/>
  <c r="AW29" i="21" s="1"/>
  <c r="AU28" i="2"/>
  <c r="AX29" i="21" s="1"/>
  <c r="AV28" i="2"/>
  <c r="AY29" i="21" s="1"/>
  <c r="AW28" i="2"/>
  <c r="AZ29" i="21" s="1"/>
  <c r="AX28" i="2"/>
  <c r="BA29" i="21" s="1"/>
  <c r="AG29" i="2"/>
  <c r="AH29" i="2"/>
  <c r="AL29" i="2"/>
  <c r="A30" i="21" s="1"/>
  <c r="AM29" i="2"/>
  <c r="AP30" i="21" s="1"/>
  <c r="AN29" i="2"/>
  <c r="AQ30" i="21" s="1"/>
  <c r="AO29" i="2"/>
  <c r="AR30" i="21" s="1"/>
  <c r="AP29" i="2"/>
  <c r="AS30" i="21" s="1"/>
  <c r="AQ29" i="2"/>
  <c r="AT30" i="21" s="1"/>
  <c r="AR29" i="2"/>
  <c r="AU30" i="21" s="1"/>
  <c r="AS29" i="2"/>
  <c r="AV30" i="21" s="1"/>
  <c r="AT29" i="2"/>
  <c r="AW30" i="21" s="1"/>
  <c r="AU29" i="2"/>
  <c r="AX30" i="21" s="1"/>
  <c r="AV29" i="2"/>
  <c r="AY30" i="21" s="1"/>
  <c r="AW29" i="2"/>
  <c r="AZ30" i="21" s="1"/>
  <c r="AX29" i="2"/>
  <c r="BA30" i="21" s="1"/>
  <c r="AG30" i="2"/>
  <c r="AH30" i="2"/>
  <c r="AL30" i="2"/>
  <c r="A31" i="21" s="1"/>
  <c r="AM30" i="2"/>
  <c r="AP31" i="21" s="1"/>
  <c r="AN30" i="2"/>
  <c r="AQ31" i="21" s="1"/>
  <c r="AO30" i="2"/>
  <c r="AR31" i="21" s="1"/>
  <c r="AP30" i="2"/>
  <c r="AS31" i="21" s="1"/>
  <c r="AQ30" i="2"/>
  <c r="AT31" i="21" s="1"/>
  <c r="AR30" i="2"/>
  <c r="AU31" i="21" s="1"/>
  <c r="AS30" i="2"/>
  <c r="AV31" i="21" s="1"/>
  <c r="AT30" i="2"/>
  <c r="AW31" i="21" s="1"/>
  <c r="AU30" i="2"/>
  <c r="AX31" i="21" s="1"/>
  <c r="AV30" i="2"/>
  <c r="AY31" i="21" s="1"/>
  <c r="AW30" i="2"/>
  <c r="AZ31" i="21" s="1"/>
  <c r="AX30" i="2"/>
  <c r="BA31" i="21" s="1"/>
  <c r="AG31" i="2"/>
  <c r="AH31" i="2"/>
  <c r="AL31" i="2"/>
  <c r="A32" i="21" s="1"/>
  <c r="AM31" i="2"/>
  <c r="AP32" i="21" s="1"/>
  <c r="AN31" i="2"/>
  <c r="AQ32" i="21" s="1"/>
  <c r="AO31" i="2"/>
  <c r="AR32" i="21" s="1"/>
  <c r="AP31" i="2"/>
  <c r="AS32" i="21" s="1"/>
  <c r="AQ31" i="2"/>
  <c r="AT32" i="21" s="1"/>
  <c r="AR31" i="2"/>
  <c r="AU32" i="21" s="1"/>
  <c r="AS31" i="2"/>
  <c r="AV32" i="21" s="1"/>
  <c r="AT31" i="2"/>
  <c r="AW32" i="21" s="1"/>
  <c r="AU31" i="2"/>
  <c r="AX32" i="21" s="1"/>
  <c r="AV31" i="2"/>
  <c r="AY32" i="21" s="1"/>
  <c r="AW31" i="2"/>
  <c r="AZ32" i="21" s="1"/>
  <c r="AX31" i="2"/>
  <c r="BA32" i="21" s="1"/>
  <c r="Q17" i="2"/>
  <c r="T17" i="2"/>
  <c r="Q18" i="2"/>
  <c r="T18" i="2"/>
  <c r="Q19" i="2"/>
  <c r="T19" i="2"/>
  <c r="Q20" i="2"/>
  <c r="T20" i="2"/>
  <c r="Q21" i="2"/>
  <c r="T21" i="2"/>
  <c r="Q22" i="2"/>
  <c r="T22" i="2"/>
  <c r="Q26" i="2"/>
  <c r="T26" i="2"/>
  <c r="Q27" i="2"/>
  <c r="T27" i="2"/>
  <c r="Q28" i="2"/>
  <c r="T28" i="2"/>
  <c r="Q29" i="2"/>
  <c r="T29" i="2"/>
  <c r="Q30" i="2"/>
  <c r="T30" i="2"/>
  <c r="Q31" i="2"/>
  <c r="T31" i="2"/>
  <c r="AO31" i="21" l="1"/>
  <c r="C31" i="28"/>
  <c r="C27" i="28"/>
  <c r="AO27" i="21"/>
  <c r="C32" i="28"/>
  <c r="AO32" i="21"/>
  <c r="C28" i="28"/>
  <c r="AO28" i="21"/>
  <c r="C30" i="28"/>
  <c r="AO30" i="21"/>
  <c r="C29" i="28"/>
  <c r="AO29" i="21"/>
  <c r="AT23" i="21"/>
  <c r="BA23" i="21"/>
  <c r="AS23" i="21"/>
  <c r="AR23" i="21"/>
  <c r="AQ23" i="21"/>
  <c r="AY23" i="21"/>
  <c r="AI28" i="2"/>
  <c r="AX23" i="21"/>
  <c r="AP23" i="21"/>
  <c r="AI17" i="2"/>
  <c r="AI30" i="2"/>
  <c r="AW23" i="21"/>
  <c r="AV23" i="21"/>
  <c r="AU23" i="21"/>
  <c r="AW20" i="31"/>
  <c r="AI21" i="2"/>
  <c r="AI31" i="2"/>
  <c r="AI22" i="2"/>
  <c r="AI26" i="2"/>
  <c r="AI27" i="2"/>
  <c r="AI18" i="2"/>
  <c r="AI29" i="2"/>
  <c r="AI20" i="2"/>
  <c r="AI19" i="2"/>
  <c r="AO21" i="21"/>
  <c r="AO19" i="21"/>
  <c r="AO20" i="21"/>
  <c r="AY20" i="2"/>
  <c r="B21" i="21" s="1"/>
  <c r="AO22" i="21"/>
  <c r="AY29" i="2"/>
  <c r="B30" i="21" s="1"/>
  <c r="AO18" i="21"/>
  <c r="AO23" i="21"/>
  <c r="AY18" i="2"/>
  <c r="B19" i="21" s="1"/>
  <c r="AZ23" i="21"/>
  <c r="AZ19" i="21"/>
  <c r="AY21" i="2"/>
  <c r="B22" i="21" s="1"/>
  <c r="AY22" i="2"/>
  <c r="B23" i="21" s="1"/>
  <c r="AY19" i="2"/>
  <c r="B20" i="21" s="1"/>
  <c r="AY27" i="2"/>
  <c r="B28" i="21" s="1"/>
  <c r="AY30" i="2"/>
  <c r="B31" i="21" s="1"/>
  <c r="AY28" i="2"/>
  <c r="B29" i="21" s="1"/>
  <c r="AY26" i="2"/>
  <c r="B27" i="21" s="1"/>
  <c r="AQ22" i="21"/>
  <c r="AY18" i="21"/>
  <c r="AY22" i="21"/>
  <c r="AY31" i="2"/>
  <c r="B32" i="21" s="1"/>
  <c r="BA20" i="21"/>
  <c r="AY17" i="2"/>
  <c r="B18" i="21" s="1"/>
  <c r="AI33" i="21"/>
  <c r="AW21" i="31" l="1"/>
  <c r="R34" i="21"/>
  <c r="R35" i="21" s="1"/>
  <c r="R33" i="21"/>
  <c r="C34" i="21"/>
  <c r="C33" i="21"/>
  <c r="AG16" i="2"/>
  <c r="AH16" i="2"/>
  <c r="AL16" i="2"/>
  <c r="A17" i="21" s="1"/>
  <c r="C17" i="28" s="1"/>
  <c r="AM16" i="2"/>
  <c r="AN16" i="2"/>
  <c r="AO16" i="2"/>
  <c r="AP16" i="2"/>
  <c r="AQ16" i="2"/>
  <c r="AR16" i="2"/>
  <c r="AS16" i="2"/>
  <c r="AT16" i="2"/>
  <c r="AU16" i="2"/>
  <c r="AV16" i="2"/>
  <c r="AW16" i="2"/>
  <c r="AX16" i="2"/>
  <c r="AW22" i="31" l="1"/>
  <c r="AI16" i="2"/>
  <c r="AY16" i="2"/>
  <c r="E38" i="21"/>
  <c r="AH4" i="2"/>
  <c r="AG4" i="2"/>
  <c r="AH5" i="2"/>
  <c r="AG5" i="2"/>
  <c r="AH6" i="2"/>
  <c r="AG6" i="2"/>
  <c r="AH7" i="2"/>
  <c r="AG7" i="2"/>
  <c r="AH9" i="2"/>
  <c r="AG9" i="2"/>
  <c r="AH10" i="2"/>
  <c r="AG10" i="2"/>
  <c r="AH11" i="2"/>
  <c r="AG11" i="2"/>
  <c r="AH12" i="2"/>
  <c r="AG12" i="2"/>
  <c r="AH15" i="2"/>
  <c r="AG15" i="2"/>
  <c r="AH3" i="2"/>
  <c r="AG3" i="2"/>
  <c r="P33" i="21"/>
  <c r="P34" i="21"/>
  <c r="P35" i="21" s="1"/>
  <c r="AD35" i="21"/>
  <c r="W33" i="21"/>
  <c r="W34" i="21"/>
  <c r="W35" i="21" s="1"/>
  <c r="I33" i="21"/>
  <c r="I34" i="21"/>
  <c r="I35" i="21" s="1"/>
  <c r="B3" i="5"/>
  <c r="E5" i="29"/>
  <c r="F5" i="29"/>
  <c r="G5" i="29"/>
  <c r="H5" i="29"/>
  <c r="I5" i="29"/>
  <c r="J5" i="29"/>
  <c r="S5" i="29"/>
  <c r="K5" i="29"/>
  <c r="L5" i="29"/>
  <c r="M5" i="29"/>
  <c r="Q5" i="29"/>
  <c r="R5" i="29"/>
  <c r="T5" i="29"/>
  <c r="U5" i="29"/>
  <c r="V5" i="29"/>
  <c r="W5" i="29"/>
  <c r="X5" i="29"/>
  <c r="Z5" i="29"/>
  <c r="AA5" i="29"/>
  <c r="AB5" i="29"/>
  <c r="AC5" i="29"/>
  <c r="AD5" i="29"/>
  <c r="AE5" i="29"/>
  <c r="AF5" i="29"/>
  <c r="AH5" i="29"/>
  <c r="AK5" i="29"/>
  <c r="E6" i="29"/>
  <c r="B5" i="5"/>
  <c r="B4" i="5"/>
  <c r="I6" i="29"/>
  <c r="J6" i="29"/>
  <c r="M6" i="29"/>
  <c r="N6" i="29"/>
  <c r="O6" i="29"/>
  <c r="P6" i="29"/>
  <c r="Q6" i="29"/>
  <c r="T6" i="29"/>
  <c r="Y6" i="29"/>
  <c r="AA6" i="29"/>
  <c r="AF6" i="29"/>
  <c r="D7" i="29"/>
  <c r="E7" i="29"/>
  <c r="B11" i="5"/>
  <c r="Z23" i="28" s="1"/>
  <c r="Z23" i="29" s="1"/>
  <c r="I7" i="29"/>
  <c r="J7" i="29"/>
  <c r="B10" i="5"/>
  <c r="Y26" i="28" s="1"/>
  <c r="Y26" i="29" s="1"/>
  <c r="M7" i="29"/>
  <c r="O7" i="29"/>
  <c r="P7" i="29"/>
  <c r="Q7" i="29"/>
  <c r="S7" i="29"/>
  <c r="T7" i="29"/>
  <c r="U7" i="29"/>
  <c r="V7" i="29"/>
  <c r="W7" i="29"/>
  <c r="X7" i="29"/>
  <c r="Z7" i="29"/>
  <c r="AA7" i="29"/>
  <c r="AB7" i="29"/>
  <c r="AE7" i="29"/>
  <c r="AF7" i="29"/>
  <c r="B7" i="5"/>
  <c r="D8" i="29"/>
  <c r="B9" i="5"/>
  <c r="B8" i="5"/>
  <c r="G8" i="29"/>
  <c r="H8" i="29"/>
  <c r="I8" i="29"/>
  <c r="J8" i="29"/>
  <c r="K8" i="29"/>
  <c r="M8" i="29"/>
  <c r="N8" i="29"/>
  <c r="O8" i="29"/>
  <c r="Q8" i="29"/>
  <c r="R8" i="29"/>
  <c r="S8" i="29"/>
  <c r="U8" i="29"/>
  <c r="V8" i="29"/>
  <c r="X8" i="29"/>
  <c r="Y8" i="29"/>
  <c r="AA8" i="29"/>
  <c r="AC8" i="29"/>
  <c r="AD8" i="29"/>
  <c r="AE8" i="29"/>
  <c r="AF8" i="29"/>
  <c r="AG8" i="29"/>
  <c r="AI8" i="29"/>
  <c r="AJ8" i="29"/>
  <c r="AK8" i="29"/>
  <c r="D9" i="29"/>
  <c r="E9" i="29"/>
  <c r="G9" i="29"/>
  <c r="H9" i="29"/>
  <c r="I9" i="29"/>
  <c r="J9" i="29"/>
  <c r="K9" i="29"/>
  <c r="L9" i="29"/>
  <c r="P9" i="29"/>
  <c r="Q9" i="29"/>
  <c r="T9" i="29"/>
  <c r="U9" i="29"/>
  <c r="V9" i="29"/>
  <c r="X9" i="29"/>
  <c r="Y9" i="29"/>
  <c r="Z9" i="29"/>
  <c r="AA9" i="29"/>
  <c r="AB9" i="29"/>
  <c r="AC9" i="29"/>
  <c r="AF9" i="29"/>
  <c r="AG9" i="29"/>
  <c r="AI9" i="29"/>
  <c r="AJ9" i="29"/>
  <c r="D10" i="29"/>
  <c r="F10" i="29"/>
  <c r="K10" i="29"/>
  <c r="L10" i="29"/>
  <c r="N10" i="29"/>
  <c r="Q10" i="29"/>
  <c r="S10" i="29"/>
  <c r="X10" i="29"/>
  <c r="Z10" i="29"/>
  <c r="AA10" i="29"/>
  <c r="AB10" i="29"/>
  <c r="AG10" i="29"/>
  <c r="AH10" i="29"/>
  <c r="AJ10" i="29"/>
  <c r="AK10" i="29"/>
  <c r="D11" i="29"/>
  <c r="E11" i="29"/>
  <c r="F11" i="29"/>
  <c r="G11" i="29"/>
  <c r="K11" i="29"/>
  <c r="L11" i="29"/>
  <c r="N11" i="29"/>
  <c r="O11" i="29"/>
  <c r="P11" i="29"/>
  <c r="Q11" i="29"/>
  <c r="R11" i="29"/>
  <c r="S11" i="29"/>
  <c r="T11" i="29"/>
  <c r="U11" i="29"/>
  <c r="V11" i="29"/>
  <c r="W11" i="29"/>
  <c r="X11" i="29"/>
  <c r="Y11" i="29"/>
  <c r="Z11" i="29"/>
  <c r="AA11" i="29"/>
  <c r="AC11" i="29"/>
  <c r="AE11" i="29"/>
  <c r="AF11" i="29"/>
  <c r="AG11" i="29"/>
  <c r="AH11" i="29"/>
  <c r="AI11" i="29"/>
  <c r="B13" i="5"/>
  <c r="B12" i="5"/>
  <c r="E4" i="29"/>
  <c r="F4" i="29"/>
  <c r="G4" i="29"/>
  <c r="K4" i="29"/>
  <c r="L4" i="29"/>
  <c r="O4" i="29"/>
  <c r="P4" i="29"/>
  <c r="R4" i="29"/>
  <c r="S4" i="29"/>
  <c r="V4" i="29"/>
  <c r="X4" i="29"/>
  <c r="AB4" i="29"/>
  <c r="AG4" i="29"/>
  <c r="AH4" i="29"/>
  <c r="AJ4" i="29"/>
  <c r="AK4" i="29"/>
  <c r="BB3" i="21"/>
  <c r="D37" i="21"/>
  <c r="E37" i="21"/>
  <c r="F37" i="21"/>
  <c r="G37" i="21"/>
  <c r="H37" i="21"/>
  <c r="J37" i="21"/>
  <c r="K37" i="21"/>
  <c r="L37" i="21"/>
  <c r="M37" i="21"/>
  <c r="N37" i="21"/>
  <c r="O37" i="21"/>
  <c r="Q37" i="21"/>
  <c r="R37" i="21"/>
  <c r="S37" i="21"/>
  <c r="T37" i="21"/>
  <c r="U37" i="21"/>
  <c r="V37" i="21"/>
  <c r="X37" i="21"/>
  <c r="Y37" i="21"/>
  <c r="Z37" i="21"/>
  <c r="AA37" i="21"/>
  <c r="AB37" i="21"/>
  <c r="AC37" i="21"/>
  <c r="AE37" i="21"/>
  <c r="AF37" i="21"/>
  <c r="AG37" i="21"/>
  <c r="AI37" i="21"/>
  <c r="D38" i="21"/>
  <c r="F38" i="21"/>
  <c r="G38" i="21"/>
  <c r="H38" i="21"/>
  <c r="J38" i="21"/>
  <c r="K38" i="21"/>
  <c r="L38" i="21"/>
  <c r="M38" i="21"/>
  <c r="N38" i="21"/>
  <c r="O38" i="21"/>
  <c r="Q38" i="21"/>
  <c r="R38" i="21"/>
  <c r="S38" i="21"/>
  <c r="T38" i="21"/>
  <c r="U38" i="21"/>
  <c r="V38" i="21"/>
  <c r="X38" i="21"/>
  <c r="Y38" i="21"/>
  <c r="Z38" i="21"/>
  <c r="AA38" i="21"/>
  <c r="AB38" i="21"/>
  <c r="AC38" i="21"/>
  <c r="AE38" i="21"/>
  <c r="AF38" i="21"/>
  <c r="AG38" i="21"/>
  <c r="AI38" i="21"/>
  <c r="D39" i="21"/>
  <c r="E39" i="21"/>
  <c r="F39" i="21"/>
  <c r="G39" i="21"/>
  <c r="H39" i="21"/>
  <c r="J39" i="21"/>
  <c r="K39" i="21"/>
  <c r="L39" i="21"/>
  <c r="M39" i="21"/>
  <c r="N39" i="21"/>
  <c r="O39" i="21"/>
  <c r="Q39" i="21"/>
  <c r="R39" i="21"/>
  <c r="S39" i="21"/>
  <c r="T39" i="21"/>
  <c r="U39" i="21"/>
  <c r="V39" i="21"/>
  <c r="X39" i="21"/>
  <c r="Y39" i="21"/>
  <c r="Z39" i="21"/>
  <c r="AA39" i="21"/>
  <c r="AB39" i="21"/>
  <c r="AC39" i="21"/>
  <c r="AE39" i="21"/>
  <c r="AF39" i="21"/>
  <c r="AG39" i="21"/>
  <c r="AI39" i="21"/>
  <c r="D40" i="21"/>
  <c r="E40" i="21"/>
  <c r="F40" i="21"/>
  <c r="G40" i="21"/>
  <c r="H40" i="21"/>
  <c r="J40" i="21"/>
  <c r="K40" i="21"/>
  <c r="L40" i="21"/>
  <c r="M40" i="21"/>
  <c r="N40" i="21"/>
  <c r="O40" i="21"/>
  <c r="Q40" i="21"/>
  <c r="R40" i="21"/>
  <c r="S40" i="21"/>
  <c r="T40" i="21"/>
  <c r="U40" i="21"/>
  <c r="V40" i="21"/>
  <c r="X40" i="21"/>
  <c r="Y40" i="21"/>
  <c r="Z40" i="21"/>
  <c r="AA40" i="21"/>
  <c r="AB40" i="21"/>
  <c r="AC40" i="21"/>
  <c r="AE40" i="21"/>
  <c r="AF40" i="21"/>
  <c r="AG40" i="21"/>
  <c r="AI40" i="21"/>
  <c r="D41" i="21"/>
  <c r="E41" i="21"/>
  <c r="F41" i="21"/>
  <c r="G41" i="21"/>
  <c r="H41" i="21"/>
  <c r="J41" i="21"/>
  <c r="K41" i="21"/>
  <c r="L41" i="21"/>
  <c r="M41" i="21"/>
  <c r="N41" i="21"/>
  <c r="O41" i="21"/>
  <c r="Q41" i="21"/>
  <c r="R41" i="21"/>
  <c r="S41" i="21"/>
  <c r="T41" i="21"/>
  <c r="U41" i="21"/>
  <c r="V41" i="21"/>
  <c r="X41" i="21"/>
  <c r="Y41" i="21"/>
  <c r="Z41" i="21"/>
  <c r="AA41" i="21"/>
  <c r="AB41" i="21"/>
  <c r="AC41" i="21"/>
  <c r="AE41" i="21"/>
  <c r="AF41" i="21"/>
  <c r="AG41" i="21"/>
  <c r="AI41" i="21"/>
  <c r="D42" i="21"/>
  <c r="E42" i="21"/>
  <c r="F42" i="21"/>
  <c r="G42" i="21"/>
  <c r="H42" i="21"/>
  <c r="J42" i="21"/>
  <c r="K42" i="21"/>
  <c r="L42" i="21"/>
  <c r="M42" i="21"/>
  <c r="N42" i="21"/>
  <c r="O42" i="21"/>
  <c r="Q42" i="21"/>
  <c r="R42" i="21"/>
  <c r="S42" i="21"/>
  <c r="T42" i="21"/>
  <c r="U42" i="21"/>
  <c r="V42" i="21"/>
  <c r="X42" i="21"/>
  <c r="Y42" i="21"/>
  <c r="Z42" i="21"/>
  <c r="AA42" i="21"/>
  <c r="AB42" i="21"/>
  <c r="AC42" i="21"/>
  <c r="AE42" i="21"/>
  <c r="AF42" i="21"/>
  <c r="AG42" i="21"/>
  <c r="AI42" i="21"/>
  <c r="D43" i="21"/>
  <c r="E43" i="21"/>
  <c r="F43" i="21"/>
  <c r="G43" i="21"/>
  <c r="H43" i="21"/>
  <c r="J43" i="21"/>
  <c r="K43" i="21"/>
  <c r="L43" i="21"/>
  <c r="M43" i="21"/>
  <c r="N43" i="21"/>
  <c r="O43" i="21"/>
  <c r="Q43" i="21"/>
  <c r="R43" i="21"/>
  <c r="S43" i="21"/>
  <c r="T43" i="21"/>
  <c r="U43" i="21"/>
  <c r="V43" i="21"/>
  <c r="X43" i="21"/>
  <c r="Y43" i="21"/>
  <c r="Z43" i="21"/>
  <c r="AA43" i="21"/>
  <c r="AB43" i="21"/>
  <c r="AC43" i="21"/>
  <c r="AE43" i="21"/>
  <c r="AF43" i="21"/>
  <c r="AG43" i="21"/>
  <c r="AI43" i="21"/>
  <c r="D44" i="21"/>
  <c r="E44" i="21"/>
  <c r="F44" i="21"/>
  <c r="G44" i="21"/>
  <c r="H44" i="21"/>
  <c r="J44" i="21"/>
  <c r="K44" i="21"/>
  <c r="L44" i="21"/>
  <c r="M44" i="21"/>
  <c r="N44" i="21"/>
  <c r="O44" i="21"/>
  <c r="Q44" i="21"/>
  <c r="R44" i="21"/>
  <c r="S44" i="21"/>
  <c r="T44" i="21"/>
  <c r="U44" i="21"/>
  <c r="V44" i="21"/>
  <c r="X44" i="21"/>
  <c r="Y44" i="21"/>
  <c r="Z44" i="21"/>
  <c r="AA44" i="21"/>
  <c r="AB44" i="21"/>
  <c r="AC44" i="21"/>
  <c r="AE44" i="21"/>
  <c r="AF44" i="21"/>
  <c r="AG44" i="21"/>
  <c r="AI44" i="21"/>
  <c r="D45" i="21"/>
  <c r="E45" i="21"/>
  <c r="F45" i="21"/>
  <c r="G45" i="21"/>
  <c r="H45" i="21"/>
  <c r="J45" i="21"/>
  <c r="K45" i="21"/>
  <c r="L45" i="21"/>
  <c r="M45" i="21"/>
  <c r="N45" i="21"/>
  <c r="O45" i="21"/>
  <c r="Q45" i="21"/>
  <c r="R45" i="21"/>
  <c r="S45" i="21"/>
  <c r="T45" i="21"/>
  <c r="U45" i="21"/>
  <c r="V45" i="21"/>
  <c r="X45" i="21"/>
  <c r="Y45" i="21"/>
  <c r="Z45" i="21"/>
  <c r="AA45" i="21"/>
  <c r="AB45" i="21"/>
  <c r="AC45" i="21"/>
  <c r="AE45" i="21"/>
  <c r="AF45" i="21"/>
  <c r="AG45" i="21"/>
  <c r="AI45" i="21"/>
  <c r="D46" i="21"/>
  <c r="E46" i="21"/>
  <c r="F46" i="21"/>
  <c r="G46" i="21"/>
  <c r="H46" i="21"/>
  <c r="J46" i="21"/>
  <c r="K46" i="21"/>
  <c r="L46" i="21"/>
  <c r="M46" i="21"/>
  <c r="N46" i="21"/>
  <c r="O46" i="21"/>
  <c r="Q46" i="21"/>
  <c r="R46" i="21"/>
  <c r="S46" i="21"/>
  <c r="T46" i="21"/>
  <c r="U46" i="21"/>
  <c r="V46" i="21"/>
  <c r="X46" i="21"/>
  <c r="Y46" i="21"/>
  <c r="Z46" i="21"/>
  <c r="AA46" i="21"/>
  <c r="AB46" i="21"/>
  <c r="AC46" i="21"/>
  <c r="AE46" i="21"/>
  <c r="AF46" i="21"/>
  <c r="AG46" i="21"/>
  <c r="AI46" i="21"/>
  <c r="D47" i="21"/>
  <c r="E47" i="21"/>
  <c r="F47" i="21"/>
  <c r="G47" i="21"/>
  <c r="H47" i="21"/>
  <c r="J47" i="21"/>
  <c r="K47" i="21"/>
  <c r="L47" i="21"/>
  <c r="M47" i="21"/>
  <c r="N47" i="21"/>
  <c r="O47" i="21"/>
  <c r="Q47" i="21"/>
  <c r="R47" i="21"/>
  <c r="S47" i="21"/>
  <c r="T47" i="21"/>
  <c r="U47" i="21"/>
  <c r="V47" i="21"/>
  <c r="X47" i="21"/>
  <c r="Y47" i="21"/>
  <c r="Z47" i="21"/>
  <c r="AA47" i="21"/>
  <c r="AB47" i="21"/>
  <c r="AC47" i="21"/>
  <c r="AE47" i="21"/>
  <c r="AF47" i="21"/>
  <c r="AG47" i="21"/>
  <c r="AI47" i="21"/>
  <c r="D48" i="21"/>
  <c r="E48" i="21"/>
  <c r="F48" i="21"/>
  <c r="G48" i="21"/>
  <c r="H48" i="21"/>
  <c r="J48" i="21"/>
  <c r="K48" i="21"/>
  <c r="L48" i="21"/>
  <c r="M48" i="21"/>
  <c r="N48" i="21"/>
  <c r="O48" i="21"/>
  <c r="Q48" i="21"/>
  <c r="R48" i="21"/>
  <c r="S48" i="21"/>
  <c r="T48" i="21"/>
  <c r="U48" i="21"/>
  <c r="V48" i="21"/>
  <c r="X48" i="21"/>
  <c r="Y48" i="21"/>
  <c r="Z48" i="21"/>
  <c r="AA48" i="21"/>
  <c r="AB48" i="21"/>
  <c r="AC48" i="21"/>
  <c r="AE48" i="21"/>
  <c r="AF48" i="21"/>
  <c r="AG48" i="21"/>
  <c r="AI48" i="21"/>
  <c r="C37" i="21"/>
  <c r="C38" i="21"/>
  <c r="C39" i="21"/>
  <c r="C40" i="21"/>
  <c r="M33" i="21"/>
  <c r="C35" i="21"/>
  <c r="V32" i="2"/>
  <c r="W32" i="2"/>
  <c r="X32" i="2"/>
  <c r="Y32" i="2"/>
  <c r="Z32" i="2"/>
  <c r="AA32" i="2"/>
  <c r="AB32" i="2"/>
  <c r="AC32" i="2"/>
  <c r="AD32" i="2"/>
  <c r="AE32" i="2"/>
  <c r="AF32" i="2"/>
  <c r="U32" i="2"/>
  <c r="D32" i="2"/>
  <c r="E32" i="2"/>
  <c r="F32" i="2"/>
  <c r="G32" i="2"/>
  <c r="H32" i="2"/>
  <c r="I32" i="2"/>
  <c r="J32" i="2"/>
  <c r="K32" i="2"/>
  <c r="L32" i="2"/>
  <c r="M32" i="2"/>
  <c r="N32" i="2"/>
  <c r="C32" i="2"/>
  <c r="T12" i="2"/>
  <c r="C4" i="29"/>
  <c r="C5" i="29"/>
  <c r="C6" i="29"/>
  <c r="C7" i="29"/>
  <c r="C8" i="29"/>
  <c r="C9" i="29"/>
  <c r="C10" i="29"/>
  <c r="C11" i="29"/>
  <c r="D33" i="21"/>
  <c r="E33" i="21"/>
  <c r="F33" i="21"/>
  <c r="G33" i="21"/>
  <c r="H33" i="21"/>
  <c r="J33" i="21"/>
  <c r="K33" i="21"/>
  <c r="L33" i="21"/>
  <c r="N33" i="21"/>
  <c r="O33" i="21"/>
  <c r="Q33" i="21"/>
  <c r="S33" i="21"/>
  <c r="U33" i="21"/>
  <c r="V33" i="21"/>
  <c r="X33" i="21"/>
  <c r="Y33" i="21"/>
  <c r="Z33" i="21"/>
  <c r="AA33" i="21"/>
  <c r="D34" i="21"/>
  <c r="D35" i="21" s="1"/>
  <c r="E34" i="21"/>
  <c r="E35" i="21" s="1"/>
  <c r="F34" i="21"/>
  <c r="F35" i="21" s="1"/>
  <c r="G34" i="21"/>
  <c r="G35" i="21" s="1"/>
  <c r="H34" i="21"/>
  <c r="H35" i="21" s="1"/>
  <c r="J34" i="21"/>
  <c r="J35" i="21" s="1"/>
  <c r="K34" i="21"/>
  <c r="K35" i="21" s="1"/>
  <c r="L34" i="21"/>
  <c r="L35" i="21" s="1"/>
  <c r="M34" i="21"/>
  <c r="M35" i="21" s="1"/>
  <c r="N34" i="21"/>
  <c r="N35" i="21" s="1"/>
  <c r="O34" i="21"/>
  <c r="O35" i="21" s="1"/>
  <c r="Q34" i="21"/>
  <c r="Q35" i="21" s="1"/>
  <c r="S34" i="21"/>
  <c r="S35" i="21" s="1"/>
  <c r="T34" i="21"/>
  <c r="T35" i="21" s="1"/>
  <c r="U34" i="21"/>
  <c r="U35" i="21" s="1"/>
  <c r="V34" i="21"/>
  <c r="V35" i="21" s="1"/>
  <c r="X34" i="21"/>
  <c r="X35" i="21" s="1"/>
  <c r="Y34" i="21"/>
  <c r="Y35" i="21" s="1"/>
  <c r="Z35" i="21"/>
  <c r="AA34" i="21"/>
  <c r="AA35" i="21" s="1"/>
  <c r="BB5" i="21"/>
  <c r="BB6" i="21"/>
  <c r="BB7" i="21"/>
  <c r="BB8" i="21"/>
  <c r="BB9" i="21"/>
  <c r="BB10" i="21"/>
  <c r="BB11" i="21"/>
  <c r="BB12" i="21"/>
  <c r="BB13" i="21"/>
  <c r="BB14" i="21"/>
  <c r="BB15" i="21"/>
  <c r="BB16" i="21"/>
  <c r="BB17" i="21"/>
  <c r="BB4" i="21"/>
  <c r="AL10" i="21"/>
  <c r="AL11" i="21"/>
  <c r="AL12" i="21"/>
  <c r="AL13" i="21"/>
  <c r="AL14" i="21"/>
  <c r="AL15" i="21"/>
  <c r="AL16" i="21"/>
  <c r="AL17" i="21"/>
  <c r="AM4" i="2"/>
  <c r="AN4" i="2"/>
  <c r="AO4" i="2"/>
  <c r="AP4" i="2"/>
  <c r="AQ4" i="2"/>
  <c r="AT5" i="21" s="1"/>
  <c r="AR4" i="2"/>
  <c r="AS4" i="2"/>
  <c r="AT4" i="2"/>
  <c r="AW5" i="21" s="1"/>
  <c r="AU4" i="2"/>
  <c r="AV4" i="2"/>
  <c r="AW4" i="2"/>
  <c r="AZ5" i="21" s="1"/>
  <c r="AX4" i="2"/>
  <c r="BA5" i="21" s="1"/>
  <c r="AM5" i="2"/>
  <c r="AN5" i="2"/>
  <c r="AO5" i="2"/>
  <c r="AP5" i="2"/>
  <c r="AQ5" i="2"/>
  <c r="AR5" i="2"/>
  <c r="AS5" i="2"/>
  <c r="AT5" i="2"/>
  <c r="AU5" i="2"/>
  <c r="AV5" i="2"/>
  <c r="AW5" i="2"/>
  <c r="AX5" i="2"/>
  <c r="AM6" i="2"/>
  <c r="AN6" i="2"/>
  <c r="AO6" i="2"/>
  <c r="AP6" i="2"/>
  <c r="AQ6" i="2"/>
  <c r="AR6" i="2"/>
  <c r="AS6" i="2"/>
  <c r="AT6" i="2"/>
  <c r="AU6" i="2"/>
  <c r="AV6" i="2"/>
  <c r="AW6" i="2"/>
  <c r="AX6" i="2"/>
  <c r="AM7" i="2"/>
  <c r="AN7" i="2"/>
  <c r="AQ8" i="21" s="1"/>
  <c r="AO7" i="2"/>
  <c r="AR8" i="21" s="1"/>
  <c r="AP7" i="2"/>
  <c r="AS8" i="21" s="1"/>
  <c r="AQ7" i="2"/>
  <c r="AT8" i="21" s="1"/>
  <c r="AR7" i="2"/>
  <c r="AU8" i="21" s="1"/>
  <c r="AS7" i="2"/>
  <c r="AV8" i="21" s="1"/>
  <c r="AT7" i="2"/>
  <c r="AW8" i="21" s="1"/>
  <c r="AU7" i="2"/>
  <c r="AX8" i="21" s="1"/>
  <c r="AV7" i="2"/>
  <c r="AY8" i="21" s="1"/>
  <c r="AW7" i="2"/>
  <c r="AZ8" i="21" s="1"/>
  <c r="AX7" i="2"/>
  <c r="BA8" i="21" s="1"/>
  <c r="AM8" i="2"/>
  <c r="AN8" i="2"/>
  <c r="AO8" i="2"/>
  <c r="AR9" i="21" s="1"/>
  <c r="AP8" i="2"/>
  <c r="AQ8" i="2"/>
  <c r="AR8" i="2"/>
  <c r="AS8" i="2"/>
  <c r="AT8" i="2"/>
  <c r="AU8" i="2"/>
  <c r="AV8" i="2"/>
  <c r="AW8" i="2"/>
  <c r="AX8" i="2"/>
  <c r="BA9" i="21" s="1"/>
  <c r="AM9" i="2"/>
  <c r="AP10" i="21" s="1"/>
  <c r="AN9" i="2"/>
  <c r="AO9" i="2"/>
  <c r="AR10" i="21" s="1"/>
  <c r="AP9" i="2"/>
  <c r="AQ9" i="2"/>
  <c r="AT10" i="21" s="1"/>
  <c r="AR9" i="2"/>
  <c r="AU10" i="21" s="1"/>
  <c r="AS9" i="2"/>
  <c r="AV10" i="21" s="1"/>
  <c r="AT9" i="2"/>
  <c r="AW10" i="21" s="1"/>
  <c r="AU9" i="2"/>
  <c r="AX10" i="21" s="1"/>
  <c r="AV9" i="2"/>
  <c r="AY10" i="21" s="1"/>
  <c r="AW9" i="2"/>
  <c r="AZ10" i="21" s="1"/>
  <c r="AX9" i="2"/>
  <c r="BA10" i="21" s="1"/>
  <c r="AM10" i="2"/>
  <c r="AP11" i="21" s="1"/>
  <c r="AN10" i="2"/>
  <c r="AQ11" i="21" s="1"/>
  <c r="AO10" i="2"/>
  <c r="AP10" i="2"/>
  <c r="AS11" i="21" s="1"/>
  <c r="AQ10" i="2"/>
  <c r="AT11" i="21" s="1"/>
  <c r="AR10" i="2"/>
  <c r="AU11" i="21" s="1"/>
  <c r="AS10" i="2"/>
  <c r="AV11" i="21" s="1"/>
  <c r="AT10" i="2"/>
  <c r="AW11" i="21" s="1"/>
  <c r="AU10" i="2"/>
  <c r="AX11" i="21" s="1"/>
  <c r="AV10" i="2"/>
  <c r="AY11" i="21" s="1"/>
  <c r="AW10" i="2"/>
  <c r="AZ11" i="21" s="1"/>
  <c r="AX10" i="2"/>
  <c r="BA11" i="21" s="1"/>
  <c r="AM11" i="2"/>
  <c r="AN11" i="2"/>
  <c r="AO11" i="2"/>
  <c r="AP11" i="2"/>
  <c r="AQ11" i="2"/>
  <c r="AR11" i="2"/>
  <c r="AS11" i="2"/>
  <c r="AT11" i="2"/>
  <c r="AU11" i="2"/>
  <c r="AV11" i="2"/>
  <c r="AW11" i="2"/>
  <c r="AX11" i="2"/>
  <c r="AM12" i="2"/>
  <c r="AP13" i="21" s="1"/>
  <c r="AN12" i="2"/>
  <c r="AQ13" i="21" s="1"/>
  <c r="AO12" i="2"/>
  <c r="AR13" i="21" s="1"/>
  <c r="AP12" i="2"/>
  <c r="AQ12" i="2"/>
  <c r="AT13" i="21" s="1"/>
  <c r="AR12" i="2"/>
  <c r="AU13" i="21" s="1"/>
  <c r="AS12" i="2"/>
  <c r="AV13" i="21" s="1"/>
  <c r="AT12" i="2"/>
  <c r="AW13" i="21" s="1"/>
  <c r="AU12" i="2"/>
  <c r="AX13" i="21" s="1"/>
  <c r="AV12" i="2"/>
  <c r="AY13" i="21" s="1"/>
  <c r="AW12" i="2"/>
  <c r="AX12" i="2"/>
  <c r="BA13" i="21" s="1"/>
  <c r="AM13" i="2"/>
  <c r="AP14" i="21" s="1"/>
  <c r="AN13" i="2"/>
  <c r="AQ14" i="21" s="1"/>
  <c r="AO13" i="2"/>
  <c r="AR14" i="21" s="1"/>
  <c r="AP13" i="2"/>
  <c r="AS14" i="21" s="1"/>
  <c r="AQ13" i="2"/>
  <c r="AT14" i="21" s="1"/>
  <c r="AR13" i="2"/>
  <c r="AU14" i="21" s="1"/>
  <c r="AS13" i="2"/>
  <c r="AT13" i="2"/>
  <c r="AW14" i="21" s="1"/>
  <c r="AU13" i="2"/>
  <c r="AX14" i="21" s="1"/>
  <c r="AV13" i="2"/>
  <c r="AY14" i="21" s="1"/>
  <c r="AW13" i="2"/>
  <c r="AZ14" i="21" s="1"/>
  <c r="AX13" i="2"/>
  <c r="BA14" i="21" s="1"/>
  <c r="AM14" i="2"/>
  <c r="AN14" i="2"/>
  <c r="AO14" i="2"/>
  <c r="AP14" i="2"/>
  <c r="AQ14" i="2"/>
  <c r="AR14" i="2"/>
  <c r="AS14" i="2"/>
  <c r="AT14" i="2"/>
  <c r="AU14" i="2"/>
  <c r="AV14" i="2"/>
  <c r="AW14" i="2"/>
  <c r="AX14" i="2"/>
  <c r="AM15" i="2"/>
  <c r="AN15" i="2"/>
  <c r="AO15" i="2"/>
  <c r="AP15" i="2"/>
  <c r="AQ15" i="2"/>
  <c r="AR15" i="2"/>
  <c r="AS15" i="2"/>
  <c r="AT15" i="2"/>
  <c r="AU15" i="2"/>
  <c r="AV15" i="2"/>
  <c r="AW15" i="2"/>
  <c r="AX15" i="2"/>
  <c r="AR17" i="21"/>
  <c r="AS17" i="21"/>
  <c r="AT17" i="21"/>
  <c r="AU17" i="21"/>
  <c r="AV17" i="21"/>
  <c r="AW17" i="21"/>
  <c r="AX17" i="21"/>
  <c r="AZ17" i="21"/>
  <c r="BA17" i="21"/>
  <c r="AN3" i="2"/>
  <c r="AO3" i="2"/>
  <c r="AP3" i="2"/>
  <c r="AQ3" i="2"/>
  <c r="AR3" i="2"/>
  <c r="AS3" i="2"/>
  <c r="Z8" i="31" s="1"/>
  <c r="AT3" i="2"/>
  <c r="AU3" i="2"/>
  <c r="AV3" i="2"/>
  <c r="AW3" i="2"/>
  <c r="AX3" i="2"/>
  <c r="AY17" i="21"/>
  <c r="AP17" i="21"/>
  <c r="P8" i="29"/>
  <c r="AI10" i="29"/>
  <c r="C48" i="21"/>
  <c r="C47" i="21"/>
  <c r="C46" i="21"/>
  <c r="C45" i="21"/>
  <c r="C44" i="21"/>
  <c r="C43" i="21"/>
  <c r="C42" i="21"/>
  <c r="C41" i="21"/>
  <c r="B36" i="21"/>
  <c r="AI34" i="21"/>
  <c r="AI35" i="21" s="1"/>
  <c r="AG34" i="21"/>
  <c r="AG35" i="21" s="1"/>
  <c r="AF34" i="21"/>
  <c r="AF35" i="21" s="1"/>
  <c r="AE34" i="21"/>
  <c r="AE35" i="21" s="1"/>
  <c r="AC35" i="21"/>
  <c r="AB34" i="21"/>
  <c r="AB35" i="21" s="1"/>
  <c r="AG33" i="21"/>
  <c r="AF33" i="21"/>
  <c r="AE33" i="21"/>
  <c r="AC33" i="21"/>
  <c r="AB33" i="21"/>
  <c r="AL9" i="21"/>
  <c r="AL8" i="21"/>
  <c r="AL7" i="21"/>
  <c r="AL6" i="21"/>
  <c r="AL5" i="21"/>
  <c r="AL4" i="21"/>
  <c r="BN3" i="21"/>
  <c r="T4" i="2"/>
  <c r="T5" i="2"/>
  <c r="T6" i="2"/>
  <c r="T7" i="2"/>
  <c r="T8" i="2"/>
  <c r="T9" i="2"/>
  <c r="T10" i="2"/>
  <c r="T11" i="2"/>
  <c r="T13" i="2"/>
  <c r="T14" i="2"/>
  <c r="T15" i="2"/>
  <c r="T16" i="2"/>
  <c r="T3" i="2"/>
  <c r="AL4" i="2"/>
  <c r="AL5" i="2"/>
  <c r="A6" i="21" s="1"/>
  <c r="C6" i="28" s="1"/>
  <c r="AL6" i="2"/>
  <c r="A7" i="21" s="1"/>
  <c r="C7" i="28" s="1"/>
  <c r="AL7" i="2"/>
  <c r="A8" i="21" s="1"/>
  <c r="C8" i="28" s="1"/>
  <c r="AL8" i="2"/>
  <c r="A9" i="21" s="1"/>
  <c r="C9" i="28" s="1"/>
  <c r="AL9" i="2"/>
  <c r="A10" i="21" s="1"/>
  <c r="C10" i="28" s="1"/>
  <c r="AL10" i="2"/>
  <c r="A11" i="21" s="1"/>
  <c r="C11" i="28" s="1"/>
  <c r="AL11" i="2"/>
  <c r="A12" i="21" s="1"/>
  <c r="C12" i="28" s="1"/>
  <c r="AL12" i="2"/>
  <c r="AL13" i="2"/>
  <c r="A14" i="21" s="1"/>
  <c r="C14" i="28" s="1"/>
  <c r="AL14" i="2"/>
  <c r="A15" i="21" s="1"/>
  <c r="C15" i="28" s="1"/>
  <c r="AL15" i="2"/>
  <c r="A16" i="21" s="1"/>
  <c r="C16" i="28" s="1"/>
  <c r="AL3" i="2"/>
  <c r="AG8" i="2"/>
  <c r="AH8" i="2"/>
  <c r="AG13" i="2"/>
  <c r="AH13" i="2"/>
  <c r="AG14" i="2"/>
  <c r="AH14" i="2"/>
  <c r="AI4" i="29"/>
  <c r="N7" i="29"/>
  <c r="E10" i="29"/>
  <c r="D4" i="28"/>
  <c r="D4" i="29" s="1"/>
  <c r="DK32" i="2"/>
  <c r="DK33" i="2" s="1"/>
  <c r="DJ32" i="2"/>
  <c r="DJ33" i="2" s="1"/>
  <c r="DI32" i="2"/>
  <c r="DI33" i="2" s="1"/>
  <c r="DH32" i="2"/>
  <c r="DH33" i="2" s="1"/>
  <c r="DG32" i="2"/>
  <c r="DG33" i="2" s="1"/>
  <c r="DF32" i="2"/>
  <c r="DF33" i="2" s="1"/>
  <c r="DE32" i="2"/>
  <c r="DE33" i="2" s="1"/>
  <c r="DD32" i="2"/>
  <c r="DD33" i="2" s="1"/>
  <c r="DC32" i="2"/>
  <c r="DC33" i="2" s="1"/>
  <c r="DB32" i="2"/>
  <c r="DB33" i="2" s="1"/>
  <c r="DA32" i="2"/>
  <c r="DA33" i="2" s="1"/>
  <c r="CZ32" i="2"/>
  <c r="CZ33" i="2" s="1"/>
  <c r="CY32" i="2"/>
  <c r="CY33" i="2" s="1"/>
  <c r="CX32" i="2"/>
  <c r="CX33" i="2" s="1"/>
  <c r="CW32" i="2"/>
  <c r="CW33" i="2" s="1"/>
  <c r="CV32" i="2"/>
  <c r="CV33" i="2" s="1"/>
  <c r="CU32" i="2"/>
  <c r="CU33" i="2" s="1"/>
  <c r="CT32" i="2"/>
  <c r="CT33" i="2" s="1"/>
  <c r="CS32" i="2"/>
  <c r="CS33" i="2" s="1"/>
  <c r="CR32" i="2"/>
  <c r="CR33" i="2" s="1"/>
  <c r="CQ32" i="2"/>
  <c r="CQ33" i="2"/>
  <c r="CP32" i="2"/>
  <c r="CP33" i="2" s="1"/>
  <c r="CO32" i="2"/>
  <c r="CO33" i="2" s="1"/>
  <c r="CN32" i="2"/>
  <c r="CN33" i="2" s="1"/>
  <c r="CM32" i="2"/>
  <c r="CM33" i="2" s="1"/>
  <c r="CL32" i="2"/>
  <c r="CL33" i="2" s="1"/>
  <c r="CK32" i="2"/>
  <c r="CK33" i="2" s="1"/>
  <c r="CJ32" i="2"/>
  <c r="CJ33" i="2" s="1"/>
  <c r="CI32" i="2"/>
  <c r="CI33" i="2" s="1"/>
  <c r="CH32" i="2"/>
  <c r="CH33" i="2" s="1"/>
  <c r="CG32" i="2"/>
  <c r="CG33" i="2" s="1"/>
  <c r="CF32" i="2"/>
  <c r="CF33" i="2" s="1"/>
  <c r="CE32" i="2"/>
  <c r="CD32" i="2"/>
  <c r="CD33" i="2" s="1"/>
  <c r="CC32" i="2"/>
  <c r="CC33" i="2" s="1"/>
  <c r="CB32" i="2"/>
  <c r="CB33" i="2" s="1"/>
  <c r="CA32" i="2"/>
  <c r="CA33" i="2" s="1"/>
  <c r="BZ32" i="2"/>
  <c r="BZ33" i="2" s="1"/>
  <c r="BY32" i="2"/>
  <c r="BY33" i="2" s="1"/>
  <c r="BX32" i="2"/>
  <c r="BX33" i="2" s="1"/>
  <c r="BW32" i="2"/>
  <c r="BW33" i="2" s="1"/>
  <c r="BV32" i="2"/>
  <c r="BV33" i="2" s="1"/>
  <c r="BU32" i="2"/>
  <c r="BU33" i="2" s="1"/>
  <c r="BT32" i="2"/>
  <c r="BT33" i="2" s="1"/>
  <c r="BS32" i="2"/>
  <c r="BS33" i="2" s="1"/>
  <c r="BR32" i="2"/>
  <c r="BR33" i="2" s="1"/>
  <c r="BQ32" i="2"/>
  <c r="BQ33" i="2" s="1"/>
  <c r="BP32" i="2"/>
  <c r="BP33" i="2" s="1"/>
  <c r="BO32" i="2"/>
  <c r="BN32" i="2"/>
  <c r="BN33" i="2" s="1"/>
  <c r="BM32" i="2"/>
  <c r="BM33" i="2" s="1"/>
  <c r="BL32" i="2"/>
  <c r="BL33" i="2" s="1"/>
  <c r="BK32" i="2"/>
  <c r="BK33" i="2" s="1"/>
  <c r="BJ32" i="2"/>
  <c r="BJ33" i="2" s="1"/>
  <c r="BI32" i="2"/>
  <c r="BI33" i="2" s="1"/>
  <c r="BH32" i="2"/>
  <c r="BH33" i="2" s="1"/>
  <c r="BG32" i="2"/>
  <c r="BG33" i="2" s="1"/>
  <c r="BF32" i="2"/>
  <c r="BF33" i="2" s="1"/>
  <c r="BE32" i="2"/>
  <c r="BE33" i="2" s="1"/>
  <c r="BD32" i="2"/>
  <c r="BD33" i="2" s="1"/>
  <c r="DL4" i="2"/>
  <c r="DN4" i="2" s="1"/>
  <c r="DL5" i="2"/>
  <c r="DN5" i="2" s="1"/>
  <c r="DL6" i="2"/>
  <c r="DN6" i="2" s="1"/>
  <c r="DL7" i="2"/>
  <c r="DN7" i="2" s="1"/>
  <c r="DL8" i="2"/>
  <c r="DN8" i="2" s="1"/>
  <c r="DL9" i="2"/>
  <c r="DN9" i="2" s="1"/>
  <c r="DL10" i="2"/>
  <c r="DN10" i="2" s="1"/>
  <c r="DL11" i="2"/>
  <c r="DL12" i="2"/>
  <c r="DN12" i="2" s="1"/>
  <c r="DL13" i="2"/>
  <c r="DN13" i="2" s="1"/>
  <c r="DL14" i="2"/>
  <c r="DN14" i="2" s="1"/>
  <c r="DL15" i="2"/>
  <c r="DN15" i="2" s="1"/>
  <c r="DL16" i="2"/>
  <c r="DN16" i="2" s="1"/>
  <c r="DL18" i="2"/>
  <c r="DN18" i="2" s="1"/>
  <c r="DL19" i="2"/>
  <c r="DN19" i="2" s="1"/>
  <c r="DL20" i="2"/>
  <c r="DN20" i="2" s="1"/>
  <c r="DL21" i="2"/>
  <c r="DN21" i="2" s="1"/>
  <c r="DL22" i="2"/>
  <c r="DN22" i="2" s="1"/>
  <c r="DL24" i="2"/>
  <c r="DN24" i="2" s="1"/>
  <c r="DL26" i="2"/>
  <c r="DL27" i="2"/>
  <c r="DN27" i="2" s="1"/>
  <c r="DL28" i="2"/>
  <c r="DN28" i="2" s="1"/>
  <c r="DL29" i="2"/>
  <c r="DN29" i="2" s="1"/>
  <c r="DL30" i="2"/>
  <c r="DN30" i="2" s="1"/>
  <c r="DL3" i="2"/>
  <c r="DN3" i="2" s="1"/>
  <c r="FW30" i="2"/>
  <c r="FV30" i="2"/>
  <c r="FU30" i="2"/>
  <c r="FT30" i="2"/>
  <c r="FS30" i="2"/>
  <c r="FR30" i="2"/>
  <c r="FQ30" i="2"/>
  <c r="FP30" i="2"/>
  <c r="FO30" i="2"/>
  <c r="FN30" i="2"/>
  <c r="FM30" i="2"/>
  <c r="FL30" i="2"/>
  <c r="FW29" i="2"/>
  <c r="FV29" i="2"/>
  <c r="FU29" i="2"/>
  <c r="FT29" i="2"/>
  <c r="FS29" i="2"/>
  <c r="FR29" i="2"/>
  <c r="FQ29" i="2"/>
  <c r="FP29" i="2"/>
  <c r="FO29" i="2"/>
  <c r="FN29" i="2"/>
  <c r="FM29" i="2"/>
  <c r="FL29" i="2"/>
  <c r="FW28" i="2"/>
  <c r="FV28" i="2"/>
  <c r="FU28" i="2"/>
  <c r="FT28" i="2"/>
  <c r="FS28" i="2"/>
  <c r="FR28" i="2"/>
  <c r="FQ28" i="2"/>
  <c r="FP28" i="2"/>
  <c r="FO28" i="2"/>
  <c r="FN28" i="2"/>
  <c r="FM28" i="2"/>
  <c r="FL28" i="2"/>
  <c r="FW27" i="2"/>
  <c r="FV27" i="2"/>
  <c r="FU27" i="2"/>
  <c r="FT27" i="2"/>
  <c r="FS27" i="2"/>
  <c r="FR27" i="2"/>
  <c r="FQ27" i="2"/>
  <c r="FP27" i="2"/>
  <c r="FO27" i="2"/>
  <c r="FN27" i="2"/>
  <c r="FM27" i="2"/>
  <c r="FL27" i="2"/>
  <c r="FW26" i="2"/>
  <c r="FV26" i="2"/>
  <c r="FU26" i="2"/>
  <c r="FT26" i="2"/>
  <c r="FS26" i="2"/>
  <c r="FR26" i="2"/>
  <c r="FQ26" i="2"/>
  <c r="FP26" i="2"/>
  <c r="FO26" i="2"/>
  <c r="FN26" i="2"/>
  <c r="FM26" i="2"/>
  <c r="FL26" i="2"/>
  <c r="FW24" i="2"/>
  <c r="FV24" i="2"/>
  <c r="FU24" i="2"/>
  <c r="FT24" i="2"/>
  <c r="FS24" i="2"/>
  <c r="FR24" i="2"/>
  <c r="FQ24" i="2"/>
  <c r="FP24" i="2"/>
  <c r="FO24" i="2"/>
  <c r="FN24" i="2"/>
  <c r="FM24" i="2"/>
  <c r="FL24" i="2"/>
  <c r="FW22" i="2"/>
  <c r="FV22" i="2"/>
  <c r="FU22" i="2"/>
  <c r="FT22" i="2"/>
  <c r="FS22" i="2"/>
  <c r="FR22" i="2"/>
  <c r="FQ22" i="2"/>
  <c r="FP22" i="2"/>
  <c r="FO22" i="2"/>
  <c r="FN22" i="2"/>
  <c r="FM22" i="2"/>
  <c r="FL22" i="2"/>
  <c r="FW21" i="2"/>
  <c r="FV21" i="2"/>
  <c r="FU21" i="2"/>
  <c r="FT21" i="2"/>
  <c r="FS21" i="2"/>
  <c r="FR21" i="2"/>
  <c r="FQ21" i="2"/>
  <c r="FP21" i="2"/>
  <c r="FO21" i="2"/>
  <c r="FN21" i="2"/>
  <c r="FM21" i="2"/>
  <c r="FL21" i="2"/>
  <c r="FW20" i="2"/>
  <c r="FV20" i="2"/>
  <c r="FU20" i="2"/>
  <c r="FT20" i="2"/>
  <c r="FS20" i="2"/>
  <c r="FR20" i="2"/>
  <c r="FQ20" i="2"/>
  <c r="FP20" i="2"/>
  <c r="FO20" i="2"/>
  <c r="FN20" i="2"/>
  <c r="FM20" i="2"/>
  <c r="FL20" i="2"/>
  <c r="FW19" i="2"/>
  <c r="FV19" i="2"/>
  <c r="FU19" i="2"/>
  <c r="FT19" i="2"/>
  <c r="FS19" i="2"/>
  <c r="FR19" i="2"/>
  <c r="FQ19" i="2"/>
  <c r="FP19" i="2"/>
  <c r="FO19" i="2"/>
  <c r="FN19" i="2"/>
  <c r="FM19" i="2"/>
  <c r="FL19" i="2"/>
  <c r="FW18" i="2"/>
  <c r="FV18" i="2"/>
  <c r="FU18" i="2"/>
  <c r="FT18" i="2"/>
  <c r="FS18" i="2"/>
  <c r="FR18" i="2"/>
  <c r="FQ18" i="2"/>
  <c r="FP18" i="2"/>
  <c r="FO18" i="2"/>
  <c r="FN18" i="2"/>
  <c r="FM18" i="2"/>
  <c r="FL18" i="2"/>
  <c r="FW16" i="2"/>
  <c r="FV16" i="2"/>
  <c r="FU16" i="2"/>
  <c r="FT16" i="2"/>
  <c r="FS16" i="2"/>
  <c r="FR16" i="2"/>
  <c r="FQ16" i="2"/>
  <c r="FP16" i="2"/>
  <c r="FO16" i="2"/>
  <c r="FN16" i="2"/>
  <c r="FM16" i="2"/>
  <c r="FL16" i="2"/>
  <c r="FW15" i="2"/>
  <c r="FV15" i="2"/>
  <c r="FU15" i="2"/>
  <c r="FT15" i="2"/>
  <c r="FS15" i="2"/>
  <c r="FR15" i="2"/>
  <c r="FQ15" i="2"/>
  <c r="FP15" i="2"/>
  <c r="FO15" i="2"/>
  <c r="FN15" i="2"/>
  <c r="FM15" i="2"/>
  <c r="FL15" i="2"/>
  <c r="FW14" i="2"/>
  <c r="FV14" i="2"/>
  <c r="FU14" i="2"/>
  <c r="FT14" i="2"/>
  <c r="FS14" i="2"/>
  <c r="FR14" i="2"/>
  <c r="FQ14" i="2"/>
  <c r="FP14" i="2"/>
  <c r="FO14" i="2"/>
  <c r="FN14" i="2"/>
  <c r="FM14" i="2"/>
  <c r="FL14" i="2"/>
  <c r="FW13" i="2"/>
  <c r="FV13" i="2"/>
  <c r="FU13" i="2"/>
  <c r="FT13" i="2"/>
  <c r="FS13" i="2"/>
  <c r="FR13" i="2"/>
  <c r="FQ13" i="2"/>
  <c r="FP13" i="2"/>
  <c r="FO13" i="2"/>
  <c r="FN13" i="2"/>
  <c r="FM13" i="2"/>
  <c r="FL13" i="2"/>
  <c r="FW12" i="2"/>
  <c r="FV12" i="2"/>
  <c r="FU12" i="2"/>
  <c r="FT12" i="2"/>
  <c r="FS12" i="2"/>
  <c r="FR12" i="2"/>
  <c r="FQ12" i="2"/>
  <c r="FP12" i="2"/>
  <c r="FO12" i="2"/>
  <c r="FN12" i="2"/>
  <c r="FM12" i="2"/>
  <c r="FL12" i="2"/>
  <c r="FW11" i="2"/>
  <c r="FV11" i="2"/>
  <c r="FU11" i="2"/>
  <c r="FT11" i="2"/>
  <c r="FS11" i="2"/>
  <c r="FR11" i="2"/>
  <c r="FQ11" i="2"/>
  <c r="FP11" i="2"/>
  <c r="FO11" i="2"/>
  <c r="FN11" i="2"/>
  <c r="FM11" i="2"/>
  <c r="FL11" i="2"/>
  <c r="FW10" i="2"/>
  <c r="FV10" i="2"/>
  <c r="FU10" i="2"/>
  <c r="FT10" i="2"/>
  <c r="FS10" i="2"/>
  <c r="FR10" i="2"/>
  <c r="FQ10" i="2"/>
  <c r="FP10" i="2"/>
  <c r="FO10" i="2"/>
  <c r="FN10" i="2"/>
  <c r="FM10" i="2"/>
  <c r="FL10" i="2"/>
  <c r="FW9" i="2"/>
  <c r="FV9" i="2"/>
  <c r="FU9" i="2"/>
  <c r="FT9" i="2"/>
  <c r="FS9" i="2"/>
  <c r="FR9" i="2"/>
  <c r="FQ9" i="2"/>
  <c r="FP9" i="2"/>
  <c r="FO9" i="2"/>
  <c r="FN9" i="2"/>
  <c r="FM9" i="2"/>
  <c r="FL9" i="2"/>
  <c r="FW8" i="2"/>
  <c r="FV8" i="2"/>
  <c r="FU8" i="2"/>
  <c r="FT8" i="2"/>
  <c r="FS8" i="2"/>
  <c r="FR8" i="2"/>
  <c r="FQ8" i="2"/>
  <c r="FP8" i="2"/>
  <c r="FO8" i="2"/>
  <c r="FN8" i="2"/>
  <c r="FM8" i="2"/>
  <c r="FL8" i="2"/>
  <c r="FW7" i="2"/>
  <c r="FV7" i="2"/>
  <c r="FU7" i="2"/>
  <c r="FT7" i="2"/>
  <c r="FS7" i="2"/>
  <c r="FR7" i="2"/>
  <c r="FQ7" i="2"/>
  <c r="FP7" i="2"/>
  <c r="FO7" i="2"/>
  <c r="FN7" i="2"/>
  <c r="FM7" i="2"/>
  <c r="FL7" i="2"/>
  <c r="FW6" i="2"/>
  <c r="FV6" i="2"/>
  <c r="FU6" i="2"/>
  <c r="FT6" i="2"/>
  <c r="FS6" i="2"/>
  <c r="FR6" i="2"/>
  <c r="FQ6" i="2"/>
  <c r="FP6" i="2"/>
  <c r="FO6" i="2"/>
  <c r="FN6" i="2"/>
  <c r="FM6" i="2"/>
  <c r="FL6" i="2"/>
  <c r="FW5" i="2"/>
  <c r="FV5" i="2"/>
  <c r="FU5" i="2"/>
  <c r="FT5" i="2"/>
  <c r="FS5" i="2"/>
  <c r="FR5" i="2"/>
  <c r="FQ5" i="2"/>
  <c r="FP5" i="2"/>
  <c r="FO5" i="2"/>
  <c r="FN5" i="2"/>
  <c r="FM5" i="2"/>
  <c r="FL5" i="2"/>
  <c r="FW4" i="2"/>
  <c r="FV4" i="2"/>
  <c r="FU4" i="2"/>
  <c r="FT4" i="2"/>
  <c r="FS4" i="2"/>
  <c r="FR4" i="2"/>
  <c r="FQ4" i="2"/>
  <c r="FP4" i="2"/>
  <c r="FO4" i="2"/>
  <c r="FN4" i="2"/>
  <c r="FM4" i="2"/>
  <c r="FL4" i="2"/>
  <c r="FW3" i="2"/>
  <c r="FV3" i="2"/>
  <c r="FU3" i="2"/>
  <c r="FT3" i="2"/>
  <c r="FS3" i="2"/>
  <c r="FR3" i="2"/>
  <c r="FQ3" i="2"/>
  <c r="FP3" i="2"/>
  <c r="FO3" i="2"/>
  <c r="FN3" i="2"/>
  <c r="FM3" i="2"/>
  <c r="FL3" i="2"/>
  <c r="FK30" i="2"/>
  <c r="FJ30" i="2"/>
  <c r="FI30" i="2"/>
  <c r="FH30" i="2"/>
  <c r="FG30" i="2"/>
  <c r="FF30" i="2"/>
  <c r="FE30" i="2"/>
  <c r="FD30" i="2"/>
  <c r="FC30" i="2"/>
  <c r="FB30" i="2"/>
  <c r="FA30" i="2"/>
  <c r="EZ30" i="2"/>
  <c r="EY30" i="2"/>
  <c r="EX30" i="2"/>
  <c r="EW30" i="2"/>
  <c r="EV30" i="2"/>
  <c r="EU30" i="2"/>
  <c r="ET30" i="2"/>
  <c r="ES30" i="2"/>
  <c r="ER30" i="2"/>
  <c r="EQ30" i="2"/>
  <c r="EP30" i="2"/>
  <c r="EO30" i="2"/>
  <c r="EN30" i="2"/>
  <c r="FK29" i="2"/>
  <c r="FJ29" i="2"/>
  <c r="FI29" i="2"/>
  <c r="FH29" i="2"/>
  <c r="FG29" i="2"/>
  <c r="FF29" i="2"/>
  <c r="FE29" i="2"/>
  <c r="FD29" i="2"/>
  <c r="FC29" i="2"/>
  <c r="FB29" i="2"/>
  <c r="FA29" i="2"/>
  <c r="EZ29" i="2"/>
  <c r="EY29" i="2"/>
  <c r="EX29" i="2"/>
  <c r="EW29" i="2"/>
  <c r="EV29" i="2"/>
  <c r="EU29" i="2"/>
  <c r="ET29" i="2"/>
  <c r="ES29" i="2"/>
  <c r="ER29" i="2"/>
  <c r="EQ29" i="2"/>
  <c r="EP29" i="2"/>
  <c r="EO29" i="2"/>
  <c r="EN29" i="2"/>
  <c r="FK28" i="2"/>
  <c r="FJ28" i="2"/>
  <c r="FI28" i="2"/>
  <c r="FH28" i="2"/>
  <c r="FG28" i="2"/>
  <c r="FF28" i="2"/>
  <c r="FE28" i="2"/>
  <c r="FD28" i="2"/>
  <c r="FC28" i="2"/>
  <c r="FB28" i="2"/>
  <c r="FA28" i="2"/>
  <c r="EZ28" i="2"/>
  <c r="EY28" i="2"/>
  <c r="EX28" i="2"/>
  <c r="EW28" i="2"/>
  <c r="EV28" i="2"/>
  <c r="EU28" i="2"/>
  <c r="ET28" i="2"/>
  <c r="ES28" i="2"/>
  <c r="ER28" i="2"/>
  <c r="EQ28" i="2"/>
  <c r="EP28" i="2"/>
  <c r="EO28" i="2"/>
  <c r="EN28" i="2"/>
  <c r="FK27" i="2"/>
  <c r="FJ27" i="2"/>
  <c r="FI27" i="2"/>
  <c r="FH27" i="2"/>
  <c r="FG27" i="2"/>
  <c r="FF27" i="2"/>
  <c r="FE27" i="2"/>
  <c r="FD27" i="2"/>
  <c r="FC27" i="2"/>
  <c r="FB27" i="2"/>
  <c r="FA27" i="2"/>
  <c r="EZ27" i="2"/>
  <c r="EY27" i="2"/>
  <c r="EX27" i="2"/>
  <c r="EW27" i="2"/>
  <c r="EV27" i="2"/>
  <c r="EU27" i="2"/>
  <c r="ET27" i="2"/>
  <c r="ES27" i="2"/>
  <c r="ER27" i="2"/>
  <c r="EQ27" i="2"/>
  <c r="EP27" i="2"/>
  <c r="EO27" i="2"/>
  <c r="EN27" i="2"/>
  <c r="FK26" i="2"/>
  <c r="FJ26" i="2"/>
  <c r="FI26" i="2"/>
  <c r="FH26" i="2"/>
  <c r="FG26" i="2"/>
  <c r="FF26" i="2"/>
  <c r="FE26" i="2"/>
  <c r="FD26" i="2"/>
  <c r="FC26" i="2"/>
  <c r="FB26" i="2"/>
  <c r="FA26" i="2"/>
  <c r="EZ26" i="2"/>
  <c r="EY26" i="2"/>
  <c r="EX26" i="2"/>
  <c r="EW26" i="2"/>
  <c r="EV26" i="2"/>
  <c r="EU26" i="2"/>
  <c r="ET26" i="2"/>
  <c r="ES26" i="2"/>
  <c r="ER26" i="2"/>
  <c r="EQ26" i="2"/>
  <c r="EP26" i="2"/>
  <c r="EO26" i="2"/>
  <c r="EN26" i="2"/>
  <c r="FK24" i="2"/>
  <c r="FJ24" i="2"/>
  <c r="FI24" i="2"/>
  <c r="FH24" i="2"/>
  <c r="FG24" i="2"/>
  <c r="FF24" i="2"/>
  <c r="FE24" i="2"/>
  <c r="FD24" i="2"/>
  <c r="FC24" i="2"/>
  <c r="FB24" i="2"/>
  <c r="FA24" i="2"/>
  <c r="EZ24" i="2"/>
  <c r="EY24" i="2"/>
  <c r="EX24" i="2"/>
  <c r="EW24" i="2"/>
  <c r="EV24" i="2"/>
  <c r="EU24" i="2"/>
  <c r="ET24" i="2"/>
  <c r="ES24" i="2"/>
  <c r="ER24" i="2"/>
  <c r="EQ24" i="2"/>
  <c r="EP24" i="2"/>
  <c r="EO24" i="2"/>
  <c r="EN24" i="2"/>
  <c r="FK22" i="2"/>
  <c r="FJ22" i="2"/>
  <c r="FI22" i="2"/>
  <c r="FH22" i="2"/>
  <c r="FG22" i="2"/>
  <c r="FF22" i="2"/>
  <c r="FE22" i="2"/>
  <c r="FD22" i="2"/>
  <c r="FC22" i="2"/>
  <c r="FB22" i="2"/>
  <c r="FA22" i="2"/>
  <c r="EZ22" i="2"/>
  <c r="EY22" i="2"/>
  <c r="EX22" i="2"/>
  <c r="EW22" i="2"/>
  <c r="EV22" i="2"/>
  <c r="EU22" i="2"/>
  <c r="ET22" i="2"/>
  <c r="ES22" i="2"/>
  <c r="ER22" i="2"/>
  <c r="EQ22" i="2"/>
  <c r="EP22" i="2"/>
  <c r="EO22" i="2"/>
  <c r="EN22" i="2"/>
  <c r="FK21" i="2"/>
  <c r="FJ21" i="2"/>
  <c r="FI21" i="2"/>
  <c r="FH21" i="2"/>
  <c r="FG21" i="2"/>
  <c r="FF21" i="2"/>
  <c r="FE21" i="2"/>
  <c r="FD21" i="2"/>
  <c r="FC21" i="2"/>
  <c r="FB21" i="2"/>
  <c r="FA21" i="2"/>
  <c r="EZ21" i="2"/>
  <c r="EY21" i="2"/>
  <c r="EX21" i="2"/>
  <c r="EW21" i="2"/>
  <c r="EV21" i="2"/>
  <c r="EU21" i="2"/>
  <c r="ET21" i="2"/>
  <c r="ES21" i="2"/>
  <c r="ER21" i="2"/>
  <c r="EQ21" i="2"/>
  <c r="EP21" i="2"/>
  <c r="EO21" i="2"/>
  <c r="EN21" i="2"/>
  <c r="FK20" i="2"/>
  <c r="FJ20" i="2"/>
  <c r="FI20" i="2"/>
  <c r="FH20" i="2"/>
  <c r="FG20" i="2"/>
  <c r="FF20" i="2"/>
  <c r="FE20" i="2"/>
  <c r="FD20" i="2"/>
  <c r="FC20" i="2"/>
  <c r="FB20" i="2"/>
  <c r="FA20" i="2"/>
  <c r="EZ20" i="2"/>
  <c r="EY20" i="2"/>
  <c r="EX20" i="2"/>
  <c r="EW20" i="2"/>
  <c r="EV20" i="2"/>
  <c r="EU20" i="2"/>
  <c r="ET20" i="2"/>
  <c r="ES20" i="2"/>
  <c r="ER20" i="2"/>
  <c r="EQ20" i="2"/>
  <c r="EP20" i="2"/>
  <c r="EO20" i="2"/>
  <c r="EN20" i="2"/>
  <c r="FK19" i="2"/>
  <c r="FJ19" i="2"/>
  <c r="FI19" i="2"/>
  <c r="FH19" i="2"/>
  <c r="FG19" i="2"/>
  <c r="FF19" i="2"/>
  <c r="FE19" i="2"/>
  <c r="FD19" i="2"/>
  <c r="FC19" i="2"/>
  <c r="FB19" i="2"/>
  <c r="FA19" i="2"/>
  <c r="EZ19" i="2"/>
  <c r="EY19" i="2"/>
  <c r="EX19" i="2"/>
  <c r="EW19" i="2"/>
  <c r="EV19" i="2"/>
  <c r="EU19" i="2"/>
  <c r="ET19" i="2"/>
  <c r="ES19" i="2"/>
  <c r="ER19" i="2"/>
  <c r="EQ19" i="2"/>
  <c r="EP19" i="2"/>
  <c r="EO19" i="2"/>
  <c r="EN19" i="2"/>
  <c r="FK18" i="2"/>
  <c r="FJ18" i="2"/>
  <c r="FI18" i="2"/>
  <c r="FH18" i="2"/>
  <c r="FG18" i="2"/>
  <c r="FF18" i="2"/>
  <c r="FE18" i="2"/>
  <c r="FD18" i="2"/>
  <c r="FC18" i="2"/>
  <c r="FB18" i="2"/>
  <c r="FA18" i="2"/>
  <c r="EZ18" i="2"/>
  <c r="EY18" i="2"/>
  <c r="EX18" i="2"/>
  <c r="EW18" i="2"/>
  <c r="EV18" i="2"/>
  <c r="EU18" i="2"/>
  <c r="ET18" i="2"/>
  <c r="ES18" i="2"/>
  <c r="ER18" i="2"/>
  <c r="EQ18" i="2"/>
  <c r="EP18" i="2"/>
  <c r="EO18" i="2"/>
  <c r="EN18" i="2"/>
  <c r="FK16" i="2"/>
  <c r="FJ16" i="2"/>
  <c r="FI16" i="2"/>
  <c r="FH16" i="2"/>
  <c r="FG16" i="2"/>
  <c r="FF16" i="2"/>
  <c r="FE16" i="2"/>
  <c r="FD16" i="2"/>
  <c r="FC16" i="2"/>
  <c r="FB16" i="2"/>
  <c r="FA16" i="2"/>
  <c r="EZ16" i="2"/>
  <c r="EY16" i="2"/>
  <c r="EX16" i="2"/>
  <c r="EW16" i="2"/>
  <c r="EV16" i="2"/>
  <c r="EU16" i="2"/>
  <c r="ET16" i="2"/>
  <c r="ES16" i="2"/>
  <c r="ER16" i="2"/>
  <c r="EQ16" i="2"/>
  <c r="EP16" i="2"/>
  <c r="EO16" i="2"/>
  <c r="EN16" i="2"/>
  <c r="FK15" i="2"/>
  <c r="FJ15" i="2"/>
  <c r="FI15" i="2"/>
  <c r="FH15" i="2"/>
  <c r="FG15" i="2"/>
  <c r="FF15" i="2"/>
  <c r="FE15" i="2"/>
  <c r="FD15" i="2"/>
  <c r="FC15" i="2"/>
  <c r="FB15" i="2"/>
  <c r="FA15" i="2"/>
  <c r="EZ15" i="2"/>
  <c r="EY15" i="2"/>
  <c r="EX15" i="2"/>
  <c r="EW15" i="2"/>
  <c r="EV15" i="2"/>
  <c r="EU15" i="2"/>
  <c r="ET15" i="2"/>
  <c r="ES15" i="2"/>
  <c r="ER15" i="2"/>
  <c r="EQ15" i="2"/>
  <c r="EP15" i="2"/>
  <c r="EO15" i="2"/>
  <c r="EN15" i="2"/>
  <c r="FK14" i="2"/>
  <c r="FJ14" i="2"/>
  <c r="FI14" i="2"/>
  <c r="FH14" i="2"/>
  <c r="FG14" i="2"/>
  <c r="FF14" i="2"/>
  <c r="FE14" i="2"/>
  <c r="FD14" i="2"/>
  <c r="FC14" i="2"/>
  <c r="FB14" i="2"/>
  <c r="FA14" i="2"/>
  <c r="EZ14" i="2"/>
  <c r="EY14" i="2"/>
  <c r="EX14" i="2"/>
  <c r="EW14" i="2"/>
  <c r="EV14" i="2"/>
  <c r="EU14" i="2"/>
  <c r="ET14" i="2"/>
  <c r="ES14" i="2"/>
  <c r="ER14" i="2"/>
  <c r="EQ14" i="2"/>
  <c r="EP14" i="2"/>
  <c r="EO14" i="2"/>
  <c r="EN14" i="2"/>
  <c r="FK13" i="2"/>
  <c r="FJ13" i="2"/>
  <c r="FI13" i="2"/>
  <c r="FH13" i="2"/>
  <c r="FG13" i="2"/>
  <c r="FF13" i="2"/>
  <c r="FE13" i="2"/>
  <c r="FD13" i="2"/>
  <c r="FC13" i="2"/>
  <c r="FB13" i="2"/>
  <c r="FA13" i="2"/>
  <c r="EZ13" i="2"/>
  <c r="EY13" i="2"/>
  <c r="EX13" i="2"/>
  <c r="EW13" i="2"/>
  <c r="EV13" i="2"/>
  <c r="EU13" i="2"/>
  <c r="ET13" i="2"/>
  <c r="ES13" i="2"/>
  <c r="ER13" i="2"/>
  <c r="EQ13" i="2"/>
  <c r="EP13" i="2"/>
  <c r="EO13" i="2"/>
  <c r="EN13" i="2"/>
  <c r="FK12" i="2"/>
  <c r="FJ12" i="2"/>
  <c r="FI12" i="2"/>
  <c r="FH12" i="2"/>
  <c r="FG12" i="2"/>
  <c r="FF12" i="2"/>
  <c r="FE12" i="2"/>
  <c r="FD12" i="2"/>
  <c r="FC12" i="2"/>
  <c r="FB12" i="2"/>
  <c r="FA12" i="2"/>
  <c r="EZ12" i="2"/>
  <c r="EY12" i="2"/>
  <c r="EX12" i="2"/>
  <c r="EW12" i="2"/>
  <c r="EV12" i="2"/>
  <c r="EU12" i="2"/>
  <c r="ET12" i="2"/>
  <c r="ES12" i="2"/>
  <c r="ER12" i="2"/>
  <c r="EQ12" i="2"/>
  <c r="EP12" i="2"/>
  <c r="EO12" i="2"/>
  <c r="EN12" i="2"/>
  <c r="FK11" i="2"/>
  <c r="FJ11" i="2"/>
  <c r="FI11" i="2"/>
  <c r="FH11" i="2"/>
  <c r="FG11" i="2"/>
  <c r="FF11" i="2"/>
  <c r="FE11" i="2"/>
  <c r="FD11" i="2"/>
  <c r="FC11" i="2"/>
  <c r="FB11" i="2"/>
  <c r="FA11" i="2"/>
  <c r="EZ11" i="2"/>
  <c r="EY11" i="2"/>
  <c r="EX11" i="2"/>
  <c r="EW11" i="2"/>
  <c r="EV11" i="2"/>
  <c r="EU11" i="2"/>
  <c r="ET11" i="2"/>
  <c r="ES11" i="2"/>
  <c r="ER11" i="2"/>
  <c r="EQ11" i="2"/>
  <c r="EP11" i="2"/>
  <c r="EO11" i="2"/>
  <c r="EN11" i="2"/>
  <c r="FK10" i="2"/>
  <c r="FJ10" i="2"/>
  <c r="FI10" i="2"/>
  <c r="FH10" i="2"/>
  <c r="FG10" i="2"/>
  <c r="FF10" i="2"/>
  <c r="FE10" i="2"/>
  <c r="FD10" i="2"/>
  <c r="FC10" i="2"/>
  <c r="FB10" i="2"/>
  <c r="FA10" i="2"/>
  <c r="EZ10" i="2"/>
  <c r="EY10" i="2"/>
  <c r="EX10" i="2"/>
  <c r="EW10" i="2"/>
  <c r="EV10" i="2"/>
  <c r="EU10" i="2"/>
  <c r="ET10" i="2"/>
  <c r="ES10" i="2"/>
  <c r="ER10" i="2"/>
  <c r="EQ10" i="2"/>
  <c r="EP10" i="2"/>
  <c r="EO10" i="2"/>
  <c r="EN10" i="2"/>
  <c r="FK9" i="2"/>
  <c r="FJ9" i="2"/>
  <c r="FI9" i="2"/>
  <c r="FH9" i="2"/>
  <c r="FG9" i="2"/>
  <c r="FF9" i="2"/>
  <c r="FE9" i="2"/>
  <c r="FD9" i="2"/>
  <c r="FC9" i="2"/>
  <c r="FB9" i="2"/>
  <c r="FA9" i="2"/>
  <c r="EZ9" i="2"/>
  <c r="EY9" i="2"/>
  <c r="EX9" i="2"/>
  <c r="EW9" i="2"/>
  <c r="EV9" i="2"/>
  <c r="EU9" i="2"/>
  <c r="ET9" i="2"/>
  <c r="ES9" i="2"/>
  <c r="ER9" i="2"/>
  <c r="EQ9" i="2"/>
  <c r="EP9" i="2"/>
  <c r="EO9" i="2"/>
  <c r="EN9" i="2"/>
  <c r="FK8" i="2"/>
  <c r="FJ8" i="2"/>
  <c r="FI8" i="2"/>
  <c r="FH8" i="2"/>
  <c r="FG8" i="2"/>
  <c r="FF8" i="2"/>
  <c r="FE8" i="2"/>
  <c r="FD8" i="2"/>
  <c r="FC8" i="2"/>
  <c r="FB8" i="2"/>
  <c r="FA8" i="2"/>
  <c r="EZ8" i="2"/>
  <c r="EY8" i="2"/>
  <c r="EX8" i="2"/>
  <c r="EW8" i="2"/>
  <c r="EV8" i="2"/>
  <c r="EU8" i="2"/>
  <c r="ET8" i="2"/>
  <c r="ES8" i="2"/>
  <c r="ER8" i="2"/>
  <c r="EQ8" i="2"/>
  <c r="EP8" i="2"/>
  <c r="EO8" i="2"/>
  <c r="EN8" i="2"/>
  <c r="FK7" i="2"/>
  <c r="FJ7" i="2"/>
  <c r="FI7" i="2"/>
  <c r="FH7" i="2"/>
  <c r="FG7" i="2"/>
  <c r="FF7" i="2"/>
  <c r="FE7" i="2"/>
  <c r="FD7" i="2"/>
  <c r="FC7" i="2"/>
  <c r="FB7" i="2"/>
  <c r="FA7" i="2"/>
  <c r="EZ7" i="2"/>
  <c r="EY7" i="2"/>
  <c r="EX7" i="2"/>
  <c r="EW7" i="2"/>
  <c r="EV7" i="2"/>
  <c r="EU7" i="2"/>
  <c r="ET7" i="2"/>
  <c r="ES7" i="2"/>
  <c r="ER7" i="2"/>
  <c r="EQ7" i="2"/>
  <c r="EP7" i="2"/>
  <c r="EO7" i="2"/>
  <c r="EN7" i="2"/>
  <c r="FK6" i="2"/>
  <c r="FJ6" i="2"/>
  <c r="FI6" i="2"/>
  <c r="FH6" i="2"/>
  <c r="FG6" i="2"/>
  <c r="FF6" i="2"/>
  <c r="FE6" i="2"/>
  <c r="FD6" i="2"/>
  <c r="FC6" i="2"/>
  <c r="FB6" i="2"/>
  <c r="FA6" i="2"/>
  <c r="EZ6" i="2"/>
  <c r="EY6" i="2"/>
  <c r="EX6" i="2"/>
  <c r="EW6" i="2"/>
  <c r="EV6" i="2"/>
  <c r="EU6" i="2"/>
  <c r="ET6" i="2"/>
  <c r="ES6" i="2"/>
  <c r="ER6" i="2"/>
  <c r="EQ6" i="2"/>
  <c r="EP6" i="2"/>
  <c r="EO6" i="2"/>
  <c r="EN6" i="2"/>
  <c r="FK5" i="2"/>
  <c r="FJ5" i="2"/>
  <c r="FI5" i="2"/>
  <c r="FH5" i="2"/>
  <c r="FG5" i="2"/>
  <c r="FF5" i="2"/>
  <c r="FE5" i="2"/>
  <c r="FD5" i="2"/>
  <c r="FC5" i="2"/>
  <c r="FB5" i="2"/>
  <c r="FA5" i="2"/>
  <c r="EZ5" i="2"/>
  <c r="EY5" i="2"/>
  <c r="EX5" i="2"/>
  <c r="EW5" i="2"/>
  <c r="EV5" i="2"/>
  <c r="EU5" i="2"/>
  <c r="ET5" i="2"/>
  <c r="ES5" i="2"/>
  <c r="ER5" i="2"/>
  <c r="EQ5" i="2"/>
  <c r="EP5" i="2"/>
  <c r="EO5" i="2"/>
  <c r="EN5" i="2"/>
  <c r="FK4" i="2"/>
  <c r="FJ4" i="2"/>
  <c r="FI4" i="2"/>
  <c r="FH4" i="2"/>
  <c r="FG4" i="2"/>
  <c r="FF4" i="2"/>
  <c r="FE4" i="2"/>
  <c r="FD4" i="2"/>
  <c r="FC4" i="2"/>
  <c r="FB4" i="2"/>
  <c r="FA4" i="2"/>
  <c r="EZ4" i="2"/>
  <c r="EY4" i="2"/>
  <c r="EX4" i="2"/>
  <c r="EW4" i="2"/>
  <c r="EV4" i="2"/>
  <c r="EU4" i="2"/>
  <c r="ET4" i="2"/>
  <c r="ES4" i="2"/>
  <c r="ER4" i="2"/>
  <c r="EQ4" i="2"/>
  <c r="EP4" i="2"/>
  <c r="EO4" i="2"/>
  <c r="EN4" i="2"/>
  <c r="FK3" i="2"/>
  <c r="FJ3" i="2"/>
  <c r="FI3" i="2"/>
  <c r="FH3" i="2"/>
  <c r="FG3" i="2"/>
  <c r="FF3" i="2"/>
  <c r="FE3" i="2"/>
  <c r="FD3" i="2"/>
  <c r="FC3" i="2"/>
  <c r="FB3" i="2"/>
  <c r="FA3" i="2"/>
  <c r="EZ3" i="2"/>
  <c r="EY3" i="2"/>
  <c r="EX3" i="2"/>
  <c r="EW3" i="2"/>
  <c r="EV3" i="2"/>
  <c r="EU3" i="2"/>
  <c r="ET3" i="2"/>
  <c r="ES3" i="2"/>
  <c r="ER3" i="2"/>
  <c r="EQ3" i="2"/>
  <c r="EP3" i="2"/>
  <c r="EO3" i="2"/>
  <c r="EN3" i="2"/>
  <c r="EM30" i="2"/>
  <c r="EL30" i="2"/>
  <c r="EK30" i="2"/>
  <c r="EJ30" i="2"/>
  <c r="EI30" i="2"/>
  <c r="EH30" i="2"/>
  <c r="EG30" i="2"/>
  <c r="EF30" i="2"/>
  <c r="EE30" i="2"/>
  <c r="ED30" i="2"/>
  <c r="EC30" i="2"/>
  <c r="EB30" i="2"/>
  <c r="EM29" i="2"/>
  <c r="EL29" i="2"/>
  <c r="EK29" i="2"/>
  <c r="EJ29" i="2"/>
  <c r="EI29" i="2"/>
  <c r="EH29" i="2"/>
  <c r="EG29" i="2"/>
  <c r="EF29" i="2"/>
  <c r="EE29" i="2"/>
  <c r="ED29" i="2"/>
  <c r="EC29" i="2"/>
  <c r="EB29" i="2"/>
  <c r="EM28" i="2"/>
  <c r="EL28" i="2"/>
  <c r="EK28" i="2"/>
  <c r="EJ28" i="2"/>
  <c r="EI28" i="2"/>
  <c r="EH28" i="2"/>
  <c r="EG28" i="2"/>
  <c r="EF28" i="2"/>
  <c r="EE28" i="2"/>
  <c r="ED28" i="2"/>
  <c r="EC28" i="2"/>
  <c r="EB28" i="2"/>
  <c r="EM27" i="2"/>
  <c r="EL27" i="2"/>
  <c r="EK27" i="2"/>
  <c r="EJ27" i="2"/>
  <c r="EI27" i="2"/>
  <c r="EH27" i="2"/>
  <c r="EG27" i="2"/>
  <c r="EF27" i="2"/>
  <c r="EE27" i="2"/>
  <c r="ED27" i="2"/>
  <c r="EC27" i="2"/>
  <c r="EB27" i="2"/>
  <c r="EM26" i="2"/>
  <c r="EL26" i="2"/>
  <c r="EK26" i="2"/>
  <c r="EJ26" i="2"/>
  <c r="EI26" i="2"/>
  <c r="EH26" i="2"/>
  <c r="EG26" i="2"/>
  <c r="EF26" i="2"/>
  <c r="EE26" i="2"/>
  <c r="ED26" i="2"/>
  <c r="EC26" i="2"/>
  <c r="EB26" i="2"/>
  <c r="EM24" i="2"/>
  <c r="EL24" i="2"/>
  <c r="EK24" i="2"/>
  <c r="EJ24" i="2"/>
  <c r="EI24" i="2"/>
  <c r="EH24" i="2"/>
  <c r="EG24" i="2"/>
  <c r="EF24" i="2"/>
  <c r="EE24" i="2"/>
  <c r="ED24" i="2"/>
  <c r="EC24" i="2"/>
  <c r="EB24" i="2"/>
  <c r="EM22" i="2"/>
  <c r="EL22" i="2"/>
  <c r="EK22" i="2"/>
  <c r="EJ22" i="2"/>
  <c r="EI22" i="2"/>
  <c r="EH22" i="2"/>
  <c r="EG22" i="2"/>
  <c r="EF22" i="2"/>
  <c r="EE22" i="2"/>
  <c r="ED22" i="2"/>
  <c r="EC22" i="2"/>
  <c r="EB22" i="2"/>
  <c r="EM21" i="2"/>
  <c r="EL21" i="2"/>
  <c r="EK21" i="2"/>
  <c r="EJ21" i="2"/>
  <c r="EI21" i="2"/>
  <c r="EH21" i="2"/>
  <c r="EG21" i="2"/>
  <c r="EF21" i="2"/>
  <c r="EE21" i="2"/>
  <c r="ED21" i="2"/>
  <c r="EC21" i="2"/>
  <c r="EB21" i="2"/>
  <c r="EM20" i="2"/>
  <c r="EL20" i="2"/>
  <c r="EK20" i="2"/>
  <c r="EJ20" i="2"/>
  <c r="EI20" i="2"/>
  <c r="EH20" i="2"/>
  <c r="EG20" i="2"/>
  <c r="EF20" i="2"/>
  <c r="EE20" i="2"/>
  <c r="ED20" i="2"/>
  <c r="EC20" i="2"/>
  <c r="EB20" i="2"/>
  <c r="EM19" i="2"/>
  <c r="EL19" i="2"/>
  <c r="EK19" i="2"/>
  <c r="EJ19" i="2"/>
  <c r="EI19" i="2"/>
  <c r="EH19" i="2"/>
  <c r="EG19" i="2"/>
  <c r="EF19" i="2"/>
  <c r="EE19" i="2"/>
  <c r="ED19" i="2"/>
  <c r="EC19" i="2"/>
  <c r="EB19" i="2"/>
  <c r="EM18" i="2"/>
  <c r="EL18" i="2"/>
  <c r="EK18" i="2"/>
  <c r="EJ18" i="2"/>
  <c r="EI18" i="2"/>
  <c r="EH18" i="2"/>
  <c r="EG18" i="2"/>
  <c r="EF18" i="2"/>
  <c r="EE18" i="2"/>
  <c r="ED18" i="2"/>
  <c r="EC18" i="2"/>
  <c r="EB18" i="2"/>
  <c r="EM16" i="2"/>
  <c r="EL16" i="2"/>
  <c r="EK16" i="2"/>
  <c r="EJ16" i="2"/>
  <c r="EI16" i="2"/>
  <c r="EH16" i="2"/>
  <c r="EG16" i="2"/>
  <c r="EF16" i="2"/>
  <c r="EE16" i="2"/>
  <c r="ED16" i="2"/>
  <c r="EC16" i="2"/>
  <c r="EB16" i="2"/>
  <c r="EM15" i="2"/>
  <c r="EL15" i="2"/>
  <c r="EK15" i="2"/>
  <c r="EJ15" i="2"/>
  <c r="EI15" i="2"/>
  <c r="EH15" i="2"/>
  <c r="EG15" i="2"/>
  <c r="EF15" i="2"/>
  <c r="EE15" i="2"/>
  <c r="ED15" i="2"/>
  <c r="EC15" i="2"/>
  <c r="EB15" i="2"/>
  <c r="EM14" i="2"/>
  <c r="EL14" i="2"/>
  <c r="EK14" i="2"/>
  <c r="EJ14" i="2"/>
  <c r="EI14" i="2"/>
  <c r="EH14" i="2"/>
  <c r="EG14" i="2"/>
  <c r="EF14" i="2"/>
  <c r="EE14" i="2"/>
  <c r="ED14" i="2"/>
  <c r="EC14" i="2"/>
  <c r="EB14" i="2"/>
  <c r="EM13" i="2"/>
  <c r="EL13" i="2"/>
  <c r="EK13" i="2"/>
  <c r="EJ13" i="2"/>
  <c r="EI13" i="2"/>
  <c r="EH13" i="2"/>
  <c r="EG13" i="2"/>
  <c r="EF13" i="2"/>
  <c r="EE13" i="2"/>
  <c r="ED13" i="2"/>
  <c r="EC13" i="2"/>
  <c r="EB13" i="2"/>
  <c r="EM12" i="2"/>
  <c r="EL12" i="2"/>
  <c r="EK12" i="2"/>
  <c r="EJ12" i="2"/>
  <c r="EI12" i="2"/>
  <c r="EH12" i="2"/>
  <c r="EG12" i="2"/>
  <c r="EF12" i="2"/>
  <c r="EE12" i="2"/>
  <c r="ED12" i="2"/>
  <c r="EC12" i="2"/>
  <c r="EB12" i="2"/>
  <c r="EM11" i="2"/>
  <c r="EL11" i="2"/>
  <c r="EK11" i="2"/>
  <c r="EJ11" i="2"/>
  <c r="EI11" i="2"/>
  <c r="EH11" i="2"/>
  <c r="EG11" i="2"/>
  <c r="EF11" i="2"/>
  <c r="EE11" i="2"/>
  <c r="ED11" i="2"/>
  <c r="EC11" i="2"/>
  <c r="EB11" i="2"/>
  <c r="EM10" i="2"/>
  <c r="EL10" i="2"/>
  <c r="EK10" i="2"/>
  <c r="EJ10" i="2"/>
  <c r="EI10" i="2"/>
  <c r="EH10" i="2"/>
  <c r="EG10" i="2"/>
  <c r="EF10" i="2"/>
  <c r="EE10" i="2"/>
  <c r="ED10" i="2"/>
  <c r="EC10" i="2"/>
  <c r="EB10" i="2"/>
  <c r="EM9" i="2"/>
  <c r="EL9" i="2"/>
  <c r="EK9" i="2"/>
  <c r="EJ9" i="2"/>
  <c r="EI9" i="2"/>
  <c r="EH9" i="2"/>
  <c r="EG9" i="2"/>
  <c r="EF9" i="2"/>
  <c r="EE9" i="2"/>
  <c r="ED9" i="2"/>
  <c r="EC9" i="2"/>
  <c r="EB9" i="2"/>
  <c r="EM8" i="2"/>
  <c r="EL8" i="2"/>
  <c r="EK8" i="2"/>
  <c r="EJ8" i="2"/>
  <c r="EI8" i="2"/>
  <c r="EH8" i="2"/>
  <c r="EG8" i="2"/>
  <c r="EF8" i="2"/>
  <c r="EE8" i="2"/>
  <c r="ED8" i="2"/>
  <c r="EC8" i="2"/>
  <c r="EB8" i="2"/>
  <c r="EM7" i="2"/>
  <c r="EL7" i="2"/>
  <c r="EK7" i="2"/>
  <c r="EJ7" i="2"/>
  <c r="EI7" i="2"/>
  <c r="EH7" i="2"/>
  <c r="EG7" i="2"/>
  <c r="EF7" i="2"/>
  <c r="EE7" i="2"/>
  <c r="ED7" i="2"/>
  <c r="EC7" i="2"/>
  <c r="EB7" i="2"/>
  <c r="EM6" i="2"/>
  <c r="EL6" i="2"/>
  <c r="EK6" i="2"/>
  <c r="EJ6" i="2"/>
  <c r="EI6" i="2"/>
  <c r="EH6" i="2"/>
  <c r="EG6" i="2"/>
  <c r="EF6" i="2"/>
  <c r="EE6" i="2"/>
  <c r="ED6" i="2"/>
  <c r="EC6" i="2"/>
  <c r="EB6" i="2"/>
  <c r="EM5" i="2"/>
  <c r="EL5" i="2"/>
  <c r="EK5" i="2"/>
  <c r="EJ5" i="2"/>
  <c r="EI5" i="2"/>
  <c r="EH5" i="2"/>
  <c r="EG5" i="2"/>
  <c r="EF5" i="2"/>
  <c r="EE5" i="2"/>
  <c r="ED5" i="2"/>
  <c r="EC5" i="2"/>
  <c r="EB5" i="2"/>
  <c r="EM4" i="2"/>
  <c r="EL4" i="2"/>
  <c r="EK4" i="2"/>
  <c r="EJ4" i="2"/>
  <c r="EI4" i="2"/>
  <c r="EH4" i="2"/>
  <c r="EG4" i="2"/>
  <c r="EF4" i="2"/>
  <c r="EE4" i="2"/>
  <c r="ED4" i="2"/>
  <c r="EC4" i="2"/>
  <c r="EB4" i="2"/>
  <c r="EM3" i="2"/>
  <c r="EL3" i="2"/>
  <c r="EK3" i="2"/>
  <c r="EJ3" i="2"/>
  <c r="EI3" i="2"/>
  <c r="EH3" i="2"/>
  <c r="EG3" i="2"/>
  <c r="EF3" i="2"/>
  <c r="EE3" i="2"/>
  <c r="ED3" i="2"/>
  <c r="EC3" i="2"/>
  <c r="EB3" i="2"/>
  <c r="DP4" i="2"/>
  <c r="DQ4" i="2"/>
  <c r="DR4" i="2"/>
  <c r="DS4" i="2"/>
  <c r="DT4" i="2"/>
  <c r="DU4" i="2"/>
  <c r="DV4" i="2"/>
  <c r="DW4" i="2"/>
  <c r="DX4" i="2"/>
  <c r="DY4" i="2"/>
  <c r="DZ4" i="2"/>
  <c r="EA4" i="2"/>
  <c r="DP5" i="2"/>
  <c r="DQ5" i="2"/>
  <c r="DR5" i="2"/>
  <c r="DS5" i="2"/>
  <c r="DT5" i="2"/>
  <c r="DU5" i="2"/>
  <c r="DV5" i="2"/>
  <c r="DW5" i="2"/>
  <c r="DX5" i="2"/>
  <c r="DY5" i="2"/>
  <c r="DZ5" i="2"/>
  <c r="EA5" i="2"/>
  <c r="DP6" i="2"/>
  <c r="DQ6" i="2"/>
  <c r="DR6" i="2"/>
  <c r="DS6" i="2"/>
  <c r="DT6" i="2"/>
  <c r="DU6" i="2"/>
  <c r="DV6" i="2"/>
  <c r="DW6" i="2"/>
  <c r="DX6" i="2"/>
  <c r="DY6" i="2"/>
  <c r="DZ6" i="2"/>
  <c r="EA6" i="2"/>
  <c r="DP7" i="2"/>
  <c r="DQ7" i="2"/>
  <c r="DR7" i="2"/>
  <c r="DS7" i="2"/>
  <c r="DT7" i="2"/>
  <c r="DU7" i="2"/>
  <c r="DV7" i="2"/>
  <c r="DW7" i="2"/>
  <c r="DX7" i="2"/>
  <c r="DY7" i="2"/>
  <c r="DZ7" i="2"/>
  <c r="EA7" i="2"/>
  <c r="DP8" i="2"/>
  <c r="DQ8" i="2"/>
  <c r="DR8" i="2"/>
  <c r="DS8" i="2"/>
  <c r="DT8" i="2"/>
  <c r="DU8" i="2"/>
  <c r="DV8" i="2"/>
  <c r="DW8" i="2"/>
  <c r="DX8" i="2"/>
  <c r="DY8" i="2"/>
  <c r="DZ8" i="2"/>
  <c r="EA8" i="2"/>
  <c r="DP9" i="2"/>
  <c r="DQ9" i="2"/>
  <c r="DR9" i="2"/>
  <c r="DS9" i="2"/>
  <c r="DT9" i="2"/>
  <c r="DU9" i="2"/>
  <c r="DV9" i="2"/>
  <c r="DW9" i="2"/>
  <c r="DX9" i="2"/>
  <c r="DY9" i="2"/>
  <c r="DZ9" i="2"/>
  <c r="EA9" i="2"/>
  <c r="DP10" i="2"/>
  <c r="DQ10" i="2"/>
  <c r="DR10" i="2"/>
  <c r="DS10" i="2"/>
  <c r="DT10" i="2"/>
  <c r="DU10" i="2"/>
  <c r="DV10" i="2"/>
  <c r="DW10" i="2"/>
  <c r="DX10" i="2"/>
  <c r="DY10" i="2"/>
  <c r="DZ10" i="2"/>
  <c r="EA10" i="2"/>
  <c r="DP11" i="2"/>
  <c r="DQ11" i="2"/>
  <c r="DR11" i="2"/>
  <c r="DS11" i="2"/>
  <c r="DT11" i="2"/>
  <c r="DU11" i="2"/>
  <c r="DV11" i="2"/>
  <c r="DW11" i="2"/>
  <c r="DX11" i="2"/>
  <c r="DY11" i="2"/>
  <c r="DZ11" i="2"/>
  <c r="EA11" i="2"/>
  <c r="DP12" i="2"/>
  <c r="DQ12" i="2"/>
  <c r="DR12" i="2"/>
  <c r="DS12" i="2"/>
  <c r="DT12" i="2"/>
  <c r="DU12" i="2"/>
  <c r="DV12" i="2"/>
  <c r="DW12" i="2"/>
  <c r="DX12" i="2"/>
  <c r="DY12" i="2"/>
  <c r="DZ12" i="2"/>
  <c r="EA12" i="2"/>
  <c r="DP13" i="2"/>
  <c r="DQ13" i="2"/>
  <c r="DR13" i="2"/>
  <c r="DS13" i="2"/>
  <c r="DT13" i="2"/>
  <c r="DU13" i="2"/>
  <c r="DV13" i="2"/>
  <c r="DW13" i="2"/>
  <c r="DX13" i="2"/>
  <c r="DY13" i="2"/>
  <c r="DZ13" i="2"/>
  <c r="EA13" i="2"/>
  <c r="DP14" i="2"/>
  <c r="DQ14" i="2"/>
  <c r="DR14" i="2"/>
  <c r="DS14" i="2"/>
  <c r="DT14" i="2"/>
  <c r="DU14" i="2"/>
  <c r="DV14" i="2"/>
  <c r="DW14" i="2"/>
  <c r="DX14" i="2"/>
  <c r="DY14" i="2"/>
  <c r="DZ14" i="2"/>
  <c r="EA14" i="2"/>
  <c r="DP15" i="2"/>
  <c r="DQ15" i="2"/>
  <c r="DR15" i="2"/>
  <c r="DS15" i="2"/>
  <c r="DT15" i="2"/>
  <c r="DU15" i="2"/>
  <c r="DV15" i="2"/>
  <c r="DW15" i="2"/>
  <c r="DX15" i="2"/>
  <c r="DY15" i="2"/>
  <c r="DZ15" i="2"/>
  <c r="EA15" i="2"/>
  <c r="DP16" i="2"/>
  <c r="DQ16" i="2"/>
  <c r="DR16" i="2"/>
  <c r="DS16" i="2"/>
  <c r="DT16" i="2"/>
  <c r="DU16" i="2"/>
  <c r="DV16" i="2"/>
  <c r="DW16" i="2"/>
  <c r="DX16" i="2"/>
  <c r="DY16" i="2"/>
  <c r="DZ16" i="2"/>
  <c r="EA16" i="2"/>
  <c r="DP18" i="2"/>
  <c r="DQ18" i="2"/>
  <c r="DR18" i="2"/>
  <c r="DS18" i="2"/>
  <c r="DT18" i="2"/>
  <c r="DU18" i="2"/>
  <c r="DV18" i="2"/>
  <c r="DW18" i="2"/>
  <c r="DX18" i="2"/>
  <c r="DY18" i="2"/>
  <c r="DZ18" i="2"/>
  <c r="EA18" i="2"/>
  <c r="DP19" i="2"/>
  <c r="DQ19" i="2"/>
  <c r="DR19" i="2"/>
  <c r="DS19" i="2"/>
  <c r="DT19" i="2"/>
  <c r="DU19" i="2"/>
  <c r="DV19" i="2"/>
  <c r="DW19" i="2"/>
  <c r="DX19" i="2"/>
  <c r="DY19" i="2"/>
  <c r="DZ19" i="2"/>
  <c r="EA19" i="2"/>
  <c r="DP20" i="2"/>
  <c r="DQ20" i="2"/>
  <c r="DR20" i="2"/>
  <c r="DS20" i="2"/>
  <c r="DT20" i="2"/>
  <c r="DU20" i="2"/>
  <c r="DV20" i="2"/>
  <c r="DW20" i="2"/>
  <c r="DX20" i="2"/>
  <c r="DY20" i="2"/>
  <c r="DZ20" i="2"/>
  <c r="EA20" i="2"/>
  <c r="DP21" i="2"/>
  <c r="DQ21" i="2"/>
  <c r="DR21" i="2"/>
  <c r="DS21" i="2"/>
  <c r="DT21" i="2"/>
  <c r="DU21" i="2"/>
  <c r="DV21" i="2"/>
  <c r="DW21" i="2"/>
  <c r="DX21" i="2"/>
  <c r="DY21" i="2"/>
  <c r="DZ21" i="2"/>
  <c r="EA21" i="2"/>
  <c r="DP22" i="2"/>
  <c r="DQ22" i="2"/>
  <c r="DR22" i="2"/>
  <c r="DS22" i="2"/>
  <c r="DT22" i="2"/>
  <c r="DU22" i="2"/>
  <c r="DV22" i="2"/>
  <c r="DW22" i="2"/>
  <c r="DX22" i="2"/>
  <c r="DY22" i="2"/>
  <c r="DZ22" i="2"/>
  <c r="EA22" i="2"/>
  <c r="DP24" i="2"/>
  <c r="DQ24" i="2"/>
  <c r="DR24" i="2"/>
  <c r="DS24" i="2"/>
  <c r="DT24" i="2"/>
  <c r="DU24" i="2"/>
  <c r="DV24" i="2"/>
  <c r="DW24" i="2"/>
  <c r="DX24" i="2"/>
  <c r="DY24" i="2"/>
  <c r="DZ24" i="2"/>
  <c r="EA24" i="2"/>
  <c r="DP26" i="2"/>
  <c r="DQ26" i="2"/>
  <c r="DR26" i="2"/>
  <c r="DS26" i="2"/>
  <c r="DT26" i="2"/>
  <c r="DU26" i="2"/>
  <c r="DV26" i="2"/>
  <c r="DW26" i="2"/>
  <c r="DX26" i="2"/>
  <c r="DY26" i="2"/>
  <c r="DZ26" i="2"/>
  <c r="EA26" i="2"/>
  <c r="DP27" i="2"/>
  <c r="DQ27" i="2"/>
  <c r="DR27" i="2"/>
  <c r="DS27" i="2"/>
  <c r="DT27" i="2"/>
  <c r="DU27" i="2"/>
  <c r="DV27" i="2"/>
  <c r="DW27" i="2"/>
  <c r="DX27" i="2"/>
  <c r="DY27" i="2"/>
  <c r="DZ27" i="2"/>
  <c r="EA27" i="2"/>
  <c r="DP28" i="2"/>
  <c r="DQ28" i="2"/>
  <c r="DR28" i="2"/>
  <c r="DS28" i="2"/>
  <c r="DT28" i="2"/>
  <c r="DU28" i="2"/>
  <c r="DV28" i="2"/>
  <c r="DW28" i="2"/>
  <c r="DX28" i="2"/>
  <c r="DY28" i="2"/>
  <c r="DZ28" i="2"/>
  <c r="EA28" i="2"/>
  <c r="DP29" i="2"/>
  <c r="DQ29" i="2"/>
  <c r="DR29" i="2"/>
  <c r="DS29" i="2"/>
  <c r="DT29" i="2"/>
  <c r="DU29" i="2"/>
  <c r="DV29" i="2"/>
  <c r="DW29" i="2"/>
  <c r="DX29" i="2"/>
  <c r="DY29" i="2"/>
  <c r="DZ29" i="2"/>
  <c r="EA29" i="2"/>
  <c r="DP30" i="2"/>
  <c r="DQ30" i="2"/>
  <c r="DR30" i="2"/>
  <c r="DS30" i="2"/>
  <c r="DT30" i="2"/>
  <c r="DU30" i="2"/>
  <c r="DV30" i="2"/>
  <c r="DW30" i="2"/>
  <c r="DX30" i="2"/>
  <c r="DY30" i="2"/>
  <c r="DZ30" i="2"/>
  <c r="EA30" i="2"/>
  <c r="EA3" i="2"/>
  <c r="DZ3" i="2"/>
  <c r="DY3" i="2"/>
  <c r="DX3" i="2"/>
  <c r="DW3" i="2"/>
  <c r="DV3" i="2"/>
  <c r="DU3" i="2"/>
  <c r="DT3" i="2"/>
  <c r="DS3" i="2"/>
  <c r="DR3" i="2"/>
  <c r="DQ3" i="2"/>
  <c r="DP3" i="2"/>
  <c r="DQ2" i="2"/>
  <c r="DR2" i="2" s="1"/>
  <c r="DS2" i="2" s="1"/>
  <c r="DT2" i="2" s="1"/>
  <c r="DU2" i="2" s="1"/>
  <c r="DV2" i="2" s="1"/>
  <c r="DW2" i="2" s="1"/>
  <c r="DX2" i="2" s="1"/>
  <c r="DY2" i="2" s="1"/>
  <c r="DZ2" i="2" s="1"/>
  <c r="EA2" i="2" s="1"/>
  <c r="EB2" i="2" s="1"/>
  <c r="EC2" i="2" s="1"/>
  <c r="ED2" i="2" s="1"/>
  <c r="EE2" i="2" s="1"/>
  <c r="EF2" i="2" s="1"/>
  <c r="EG2" i="2" s="1"/>
  <c r="EH2" i="2" s="1"/>
  <c r="EI2" i="2" s="1"/>
  <c r="EJ2" i="2" s="1"/>
  <c r="EK2" i="2" s="1"/>
  <c r="EL2" i="2" s="1"/>
  <c r="EM2" i="2" s="1"/>
  <c r="EN2" i="2" s="1"/>
  <c r="EO2" i="2" s="1"/>
  <c r="EP2" i="2" s="1"/>
  <c r="EQ2" i="2" s="1"/>
  <c r="ER2" i="2" s="1"/>
  <c r="ES2" i="2" s="1"/>
  <c r="ET2" i="2" s="1"/>
  <c r="EU2" i="2" s="1"/>
  <c r="EV2" i="2" s="1"/>
  <c r="EW2" i="2" s="1"/>
  <c r="EX2" i="2" s="1"/>
  <c r="EY2" i="2" s="1"/>
  <c r="EZ2" i="2" s="1"/>
  <c r="FA2" i="2" s="1"/>
  <c r="FB2" i="2" s="1"/>
  <c r="FC2" i="2" s="1"/>
  <c r="FD2" i="2" s="1"/>
  <c r="FE2" i="2" s="1"/>
  <c r="FF2" i="2" s="1"/>
  <c r="FG2" i="2" s="1"/>
  <c r="FH2" i="2" s="1"/>
  <c r="FI2" i="2" s="1"/>
  <c r="FJ2" i="2" s="1"/>
  <c r="FK2" i="2" s="1"/>
  <c r="FL2" i="2" s="1"/>
  <c r="FM2" i="2" s="1"/>
  <c r="FN2" i="2" s="1"/>
  <c r="FO2" i="2" s="1"/>
  <c r="FP2" i="2" s="1"/>
  <c r="FQ2" i="2" s="1"/>
  <c r="FR2" i="2" s="1"/>
  <c r="FS2" i="2" s="1"/>
  <c r="FT2" i="2" s="1"/>
  <c r="FU2" i="2" s="1"/>
  <c r="FV2" i="2" s="1"/>
  <c r="FW2" i="2" s="1"/>
  <c r="BO33" i="2"/>
  <c r="DN11" i="2"/>
  <c r="DN26" i="2"/>
  <c r="CE33" i="2"/>
  <c r="AM3" i="2"/>
  <c r="AK4" i="2"/>
  <c r="AK5" i="2" s="1"/>
  <c r="AK6" i="2" s="1"/>
  <c r="AK7" i="2" s="1"/>
  <c r="AK8" i="2" s="1"/>
  <c r="AK9" i="2" s="1"/>
  <c r="AK10" i="2" s="1"/>
  <c r="AK11" i="2" s="1"/>
  <c r="AK12" i="2" s="1"/>
  <c r="AK13" i="2" s="1"/>
  <c r="AK14" i="2" s="1"/>
  <c r="AK15" i="2" s="1"/>
  <c r="AK16" i="2" s="1"/>
  <c r="AK17" i="2" s="1"/>
  <c r="AK18" i="2" s="1"/>
  <c r="AK19" i="2" s="1"/>
  <c r="AK20" i="2" s="1"/>
  <c r="AK21" i="2" s="1"/>
  <c r="AK22" i="2" s="1"/>
  <c r="AO2" i="2"/>
  <c r="AP2" i="2" s="1"/>
  <c r="AS3" i="21" s="1"/>
  <c r="BE3" i="21" s="1"/>
  <c r="AN2" i="2"/>
  <c r="AQ3" i="21" s="1"/>
  <c r="BC3" i="21" s="1"/>
  <c r="S4" i="2"/>
  <c r="S5" i="2" s="1"/>
  <c r="S6" i="2" s="1"/>
  <c r="S7" i="2" s="1"/>
  <c r="S8" i="2" s="1"/>
  <c r="S9" i="2" s="1"/>
  <c r="S10" i="2" s="1"/>
  <c r="S11" i="2" s="1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W2" i="2"/>
  <c r="X2" i="2" s="1"/>
  <c r="V2" i="2"/>
  <c r="Q4" i="2"/>
  <c r="Q5" i="2"/>
  <c r="Q6" i="2"/>
  <c r="Q7" i="2"/>
  <c r="Q8" i="2"/>
  <c r="Q9" i="2"/>
  <c r="Q10" i="2"/>
  <c r="Q11" i="2"/>
  <c r="Q12" i="2"/>
  <c r="Q13" i="2"/>
  <c r="Q14" i="2"/>
  <c r="Q15" i="2"/>
  <c r="Q3" i="2"/>
  <c r="E2" i="2"/>
  <c r="F2" i="2" s="1"/>
  <c r="D2" i="2"/>
  <c r="A4" i="2"/>
  <c r="FX13" i="2"/>
  <c r="FX9" i="2"/>
  <c r="FX26" i="2"/>
  <c r="FX10" i="2"/>
  <c r="FX21" i="2"/>
  <c r="FX5" i="2"/>
  <c r="FX27" i="2"/>
  <c r="FX28" i="2"/>
  <c r="FX18" i="2"/>
  <c r="FX19" i="2"/>
  <c r="FX20" i="2"/>
  <c r="FX15" i="2"/>
  <c r="FX29" i="2"/>
  <c r="FX11" i="2"/>
  <c r="FX8" i="2"/>
  <c r="FX30" i="2"/>
  <c r="FX22" i="2"/>
  <c r="FX14" i="2"/>
  <c r="FX4" i="2"/>
  <c r="FX16" i="2"/>
  <c r="FX6" i="2"/>
  <c r="G2" i="2"/>
  <c r="I2" i="2" s="1"/>
  <c r="FX7" i="2"/>
  <c r="FX12" i="2"/>
  <c r="FX24" i="2"/>
  <c r="FX3" i="2"/>
  <c r="AH33" i="21"/>
  <c r="AH38" i="21"/>
  <c r="AH46" i="21"/>
  <c r="AH43" i="21"/>
  <c r="AH42" i="21"/>
  <c r="AH45" i="21"/>
  <c r="AH47" i="21"/>
  <c r="AH44" i="21"/>
  <c r="AH41" i="21"/>
  <c r="AH39" i="21"/>
  <c r="AH48" i="21"/>
  <c r="AH40" i="21"/>
  <c r="AH34" i="21"/>
  <c r="AH35" i="21" s="1"/>
  <c r="AH37" i="21"/>
  <c r="Z4" i="28" l="1"/>
  <c r="Z4" i="29" s="1"/>
  <c r="AC30" i="28"/>
  <c r="AC30" i="29" s="1"/>
  <c r="Q4" i="28"/>
  <c r="Q4" i="29" s="1"/>
  <c r="AD4" i="28"/>
  <c r="AD4" i="29" s="1"/>
  <c r="AA29" i="28"/>
  <c r="AA29" i="29" s="1"/>
  <c r="AE10" i="28"/>
  <c r="AE10" i="29" s="1"/>
  <c r="M26" i="28"/>
  <c r="M26" i="29" s="1"/>
  <c r="J16" i="28"/>
  <c r="J16" i="29" s="1"/>
  <c r="F6" i="29"/>
  <c r="L6" i="28"/>
  <c r="L6" i="29" s="1"/>
  <c r="X6" i="28"/>
  <c r="X6" i="29" s="1"/>
  <c r="AH9" i="28"/>
  <c r="AH9" i="29" s="1"/>
  <c r="I12" i="28"/>
  <c r="I12" i="29" s="1"/>
  <c r="Q24" i="28"/>
  <c r="Q24" i="29" s="1"/>
  <c r="W28" i="28"/>
  <c r="W28" i="29" s="1"/>
  <c r="D5" i="28"/>
  <c r="J12" i="28"/>
  <c r="J12" i="29" s="1"/>
  <c r="E18" i="28"/>
  <c r="E18" i="29" s="1"/>
  <c r="AJ12" i="28"/>
  <c r="AJ12" i="29" s="1"/>
  <c r="Z28" i="28"/>
  <c r="Z28" i="29" s="1"/>
  <c r="AL5" i="28"/>
  <c r="AL5" i="29" s="1"/>
  <c r="AK12" i="28"/>
  <c r="AK12" i="29" s="1"/>
  <c r="G14" i="28"/>
  <c r="G14" i="29" s="1"/>
  <c r="AC6" i="28"/>
  <c r="AC6" i="29" s="1"/>
  <c r="AD13" i="28"/>
  <c r="AD13" i="29" s="1"/>
  <c r="K19" i="28"/>
  <c r="K19" i="29" s="1"/>
  <c r="O12" i="28"/>
  <c r="O12" i="29" s="1"/>
  <c r="AG18" i="28"/>
  <c r="AG18" i="29" s="1"/>
  <c r="N9" i="28"/>
  <c r="N9" i="29" s="1"/>
  <c r="AF13" i="28"/>
  <c r="AF13" i="29" s="1"/>
  <c r="T13" i="28"/>
  <c r="T13" i="29" s="1"/>
  <c r="M24" i="28"/>
  <c r="M24" i="29" s="1"/>
  <c r="U6" i="28"/>
  <c r="U6" i="29" s="1"/>
  <c r="AE9" i="28"/>
  <c r="AE9" i="29" s="1"/>
  <c r="R12" i="28"/>
  <c r="R12" i="29" s="1"/>
  <c r="AB19" i="28"/>
  <c r="AB19" i="29" s="1"/>
  <c r="H28" i="28"/>
  <c r="H28" i="29" s="1"/>
  <c r="Y14" i="28"/>
  <c r="Y14" i="29" s="1"/>
  <c r="AA24" i="28"/>
  <c r="AA24" i="29" s="1"/>
  <c r="AI6" i="28"/>
  <c r="F9" i="28"/>
  <c r="F9" i="29" s="1"/>
  <c r="S9" i="28"/>
  <c r="S9" i="29" s="1"/>
  <c r="P24" i="28"/>
  <c r="P24" i="29" s="1"/>
  <c r="V28" i="28"/>
  <c r="V28" i="29" s="1"/>
  <c r="A5" i="21"/>
  <c r="C5" i="28" s="1"/>
  <c r="Y7" i="29"/>
  <c r="M22" i="28"/>
  <c r="M22" i="29" s="1"/>
  <c r="W25" i="28"/>
  <c r="W25" i="29" s="1"/>
  <c r="E27" i="28"/>
  <c r="E27" i="29" s="1"/>
  <c r="G32" i="28"/>
  <c r="G32" i="29" s="1"/>
  <c r="F19" i="28"/>
  <c r="F19" i="29" s="1"/>
  <c r="U19" i="28"/>
  <c r="U19" i="29" s="1"/>
  <c r="AA22" i="28"/>
  <c r="AA22" i="29" s="1"/>
  <c r="I24" i="28"/>
  <c r="I24" i="29" s="1"/>
  <c r="L25" i="28"/>
  <c r="L25" i="29" s="1"/>
  <c r="Y27" i="28"/>
  <c r="Y27" i="29" s="1"/>
  <c r="K32" i="28"/>
  <c r="K32" i="29" s="1"/>
  <c r="D32" i="28"/>
  <c r="D32" i="29" s="1"/>
  <c r="AC17" i="28"/>
  <c r="AC17" i="29" s="1"/>
  <c r="AJ32" i="28"/>
  <c r="AJ32" i="29" s="1"/>
  <c r="AD6" i="28"/>
  <c r="AD6" i="29" s="1"/>
  <c r="AK32" i="28"/>
  <c r="AK32" i="29" s="1"/>
  <c r="S6" i="28"/>
  <c r="S6" i="29" s="1"/>
  <c r="Z32" i="28"/>
  <c r="Z32" i="29" s="1"/>
  <c r="Q25" i="28"/>
  <c r="Q25" i="29" s="1"/>
  <c r="AG25" i="28"/>
  <c r="AG25" i="29" s="1"/>
  <c r="P27" i="28"/>
  <c r="P27" i="29" s="1"/>
  <c r="O32" i="28"/>
  <c r="O32" i="29" s="1"/>
  <c r="H17" i="28"/>
  <c r="H17" i="29" s="1"/>
  <c r="J22" i="28"/>
  <c r="J22" i="29" s="1"/>
  <c r="AH22" i="28"/>
  <c r="AH22" i="29" s="1"/>
  <c r="N24" i="28"/>
  <c r="N24" i="29" s="1"/>
  <c r="AI22" i="28"/>
  <c r="AI22" i="29" s="1"/>
  <c r="V17" i="28"/>
  <c r="V17" i="29" s="1"/>
  <c r="AB24" i="28"/>
  <c r="AB24" i="29" s="1"/>
  <c r="AF27" i="28"/>
  <c r="AF27" i="29" s="1"/>
  <c r="R32" i="28"/>
  <c r="R32" i="29" s="1"/>
  <c r="T27" i="28"/>
  <c r="T27" i="29" s="1"/>
  <c r="AB8" i="28"/>
  <c r="AB8" i="29" s="1"/>
  <c r="K17" i="28"/>
  <c r="K17" i="29" s="1"/>
  <c r="O23" i="28"/>
  <c r="O23" i="29" s="1"/>
  <c r="E8" i="28"/>
  <c r="E8" i="29" s="1"/>
  <c r="AF15" i="28"/>
  <c r="AF15" i="29" s="1"/>
  <c r="V16" i="28"/>
  <c r="V16" i="29" s="1"/>
  <c r="P26" i="28"/>
  <c r="P26" i="29" s="1"/>
  <c r="I15" i="28"/>
  <c r="I15" i="29" s="1"/>
  <c r="U15" i="28"/>
  <c r="U15" i="29" s="1"/>
  <c r="AG19" i="28"/>
  <c r="AG19" i="29" s="1"/>
  <c r="D23" i="28"/>
  <c r="D23" i="29" s="1"/>
  <c r="L16" i="28"/>
  <c r="L16" i="29" s="1"/>
  <c r="AJ16" i="28"/>
  <c r="AJ16" i="29" s="1"/>
  <c r="R26" i="28"/>
  <c r="R26" i="29" s="1"/>
  <c r="F7" i="28"/>
  <c r="F7" i="29" s="1"/>
  <c r="AD7" i="28"/>
  <c r="AD7" i="29" s="1"/>
  <c r="AA21" i="28"/>
  <c r="AA21" i="29" s="1"/>
  <c r="Z16" i="28"/>
  <c r="Z16" i="29" s="1"/>
  <c r="AH8" i="28"/>
  <c r="AH8" i="29" s="1"/>
  <c r="M15" i="28"/>
  <c r="M15" i="29" s="1"/>
  <c r="Y15" i="28"/>
  <c r="Y15" i="29" s="1"/>
  <c r="Q21" i="28"/>
  <c r="Q21" i="29" s="1"/>
  <c r="W8" i="28"/>
  <c r="W8" i="29" s="1"/>
  <c r="J26" i="28"/>
  <c r="J26" i="29" s="1"/>
  <c r="G17" i="28"/>
  <c r="G17" i="29" s="1"/>
  <c r="N19" i="28"/>
  <c r="N19" i="29" s="1"/>
  <c r="S21" i="28"/>
  <c r="S21" i="29" s="1"/>
  <c r="AI7" i="28"/>
  <c r="AI7" i="29" s="1"/>
  <c r="T21" i="28"/>
  <c r="T21" i="29" s="1"/>
  <c r="AC19" i="28"/>
  <c r="AC19" i="29" s="1"/>
  <c r="AK23" i="28"/>
  <c r="AK23" i="29" s="1"/>
  <c r="H16" i="28"/>
  <c r="H16" i="29" s="1"/>
  <c r="D5" i="29"/>
  <c r="S23" i="2"/>
  <c r="S24" i="2" s="1"/>
  <c r="S25" i="2" s="1"/>
  <c r="S26" i="2" s="1"/>
  <c r="S27" i="2" s="1"/>
  <c r="S28" i="2" s="1"/>
  <c r="S29" i="2" s="1"/>
  <c r="S30" i="2" s="1"/>
  <c r="S31" i="2" s="1"/>
  <c r="AK23" i="2"/>
  <c r="AK24" i="2" s="1"/>
  <c r="AK25" i="2" s="1"/>
  <c r="AK26" i="2" s="1"/>
  <c r="A13" i="21"/>
  <c r="C13" i="28" s="1"/>
  <c r="AJ6" i="28"/>
  <c r="AJ6" i="29" s="1"/>
  <c r="AK22" i="28"/>
  <c r="AK22" i="29" s="1"/>
  <c r="U27" i="28"/>
  <c r="U27" i="29" s="1"/>
  <c r="AG27" i="28"/>
  <c r="AG27" i="29" s="1"/>
  <c r="S32" i="28"/>
  <c r="S32" i="29" s="1"/>
  <c r="Z22" i="28"/>
  <c r="Z22" i="29" s="1"/>
  <c r="AD24" i="28"/>
  <c r="AD24" i="29" s="1"/>
  <c r="T32" i="28"/>
  <c r="T32" i="29" s="1"/>
  <c r="AC18" i="28"/>
  <c r="AC18" i="29" s="1"/>
  <c r="G19" i="28"/>
  <c r="G19" i="29" s="1"/>
  <c r="I27" i="28"/>
  <c r="I27" i="29" s="1"/>
  <c r="AH32" i="28"/>
  <c r="AH32" i="29" s="1"/>
  <c r="AB6" i="28"/>
  <c r="AB6" i="29" s="1"/>
  <c r="W19" i="28"/>
  <c r="W19" i="29" s="1"/>
  <c r="E22" i="28"/>
  <c r="E22" i="29" s="1"/>
  <c r="AA25" i="28"/>
  <c r="AA25" i="29" s="1"/>
  <c r="AI32" i="28"/>
  <c r="AI32" i="29" s="1"/>
  <c r="H18" i="28"/>
  <c r="H18" i="29" s="1"/>
  <c r="R22" i="28"/>
  <c r="R22" i="29" s="1"/>
  <c r="J24" i="28"/>
  <c r="J24" i="29" s="1"/>
  <c r="M25" i="28"/>
  <c r="M25" i="29" s="1"/>
  <c r="N27" i="28"/>
  <c r="N27" i="29" s="1"/>
  <c r="Y32" i="28"/>
  <c r="Y32" i="29" s="1"/>
  <c r="V18" i="28"/>
  <c r="V18" i="29" s="1"/>
  <c r="L24" i="28"/>
  <c r="L24" i="29" s="1"/>
  <c r="AF25" i="28"/>
  <c r="AF25" i="29" s="1"/>
  <c r="O27" i="28"/>
  <c r="O27" i="29" s="1"/>
  <c r="D25" i="28"/>
  <c r="D25" i="29" s="1"/>
  <c r="P32" i="28"/>
  <c r="P32" i="29" s="1"/>
  <c r="K22" i="28"/>
  <c r="K22" i="29" s="1"/>
  <c r="Q32" i="28"/>
  <c r="Q32" i="29" s="1"/>
  <c r="F32" i="28"/>
  <c r="F32" i="29" s="1"/>
  <c r="I16" i="28"/>
  <c r="I16" i="29" s="1"/>
  <c r="AF19" i="28"/>
  <c r="AF19" i="29" s="1"/>
  <c r="F8" i="28"/>
  <c r="F8" i="29" s="1"/>
  <c r="AG15" i="28"/>
  <c r="AG15" i="29" s="1"/>
  <c r="W16" i="28"/>
  <c r="W16" i="29" s="1"/>
  <c r="E23" i="28"/>
  <c r="E23" i="29" s="1"/>
  <c r="Q26" i="28"/>
  <c r="Q26" i="29" s="1"/>
  <c r="AC7" i="28"/>
  <c r="AC7" i="29" s="1"/>
  <c r="J15" i="28"/>
  <c r="J15" i="29" s="1"/>
  <c r="V15" i="28"/>
  <c r="V15" i="29" s="1"/>
  <c r="R7" i="28"/>
  <c r="T8" i="28"/>
  <c r="T8" i="29" s="1"/>
  <c r="M16" i="28"/>
  <c r="M16" i="29" s="1"/>
  <c r="Y16" i="28"/>
  <c r="Y16" i="29" s="1"/>
  <c r="AK16" i="28"/>
  <c r="AK16" i="29" s="1"/>
  <c r="G18" i="28"/>
  <c r="G18" i="29" s="1"/>
  <c r="S23" i="28"/>
  <c r="S23" i="29" s="1"/>
  <c r="P21" i="28"/>
  <c r="P21" i="29" s="1"/>
  <c r="AB21" i="28"/>
  <c r="AB21" i="29" s="1"/>
  <c r="H7" i="28"/>
  <c r="D26" i="28"/>
  <c r="D26" i="29" s="1"/>
  <c r="N15" i="28"/>
  <c r="N15" i="29" s="1"/>
  <c r="L8" i="28"/>
  <c r="L8" i="29" s="1"/>
  <c r="AA15" i="28"/>
  <c r="AA15" i="29" s="1"/>
  <c r="K18" i="28"/>
  <c r="K18" i="29" s="1"/>
  <c r="AI26" i="28"/>
  <c r="AI26" i="29" s="1"/>
  <c r="O19" i="28"/>
  <c r="O19" i="29" s="1"/>
  <c r="AJ23" i="28"/>
  <c r="AJ23" i="29" s="1"/>
  <c r="Z8" i="28"/>
  <c r="Z8" i="29" s="1"/>
  <c r="U21" i="28"/>
  <c r="U21" i="29" s="1"/>
  <c r="AD19" i="28"/>
  <c r="AD19" i="29" s="1"/>
  <c r="AH21" i="28"/>
  <c r="AH21" i="29" s="1"/>
  <c r="AD11" i="28"/>
  <c r="AD11" i="29" s="1"/>
  <c r="W21" i="28"/>
  <c r="W21" i="29" s="1"/>
  <c r="AA23" i="28"/>
  <c r="AA23" i="29" s="1"/>
  <c r="O30" i="28"/>
  <c r="O30" i="29" s="1"/>
  <c r="Q31" i="28"/>
  <c r="Q31" i="29" s="1"/>
  <c r="P23" i="28"/>
  <c r="P23" i="29" s="1"/>
  <c r="L28" i="28"/>
  <c r="L28" i="29" s="1"/>
  <c r="S31" i="28"/>
  <c r="S31" i="29" s="1"/>
  <c r="R23" i="28"/>
  <c r="R23" i="29" s="1"/>
  <c r="F30" i="28"/>
  <c r="F30" i="29" s="1"/>
  <c r="H31" i="28"/>
  <c r="H31" i="29" s="1"/>
  <c r="I11" i="28"/>
  <c r="I11" i="29" s="1"/>
  <c r="AB28" i="28"/>
  <c r="AB28" i="29" s="1"/>
  <c r="J11" i="28"/>
  <c r="J11" i="29" s="1"/>
  <c r="AJ11" i="28"/>
  <c r="AJ11" i="29" s="1"/>
  <c r="E21" i="28"/>
  <c r="E21" i="29" s="1"/>
  <c r="AC21" i="28"/>
  <c r="AC21" i="29" s="1"/>
  <c r="U26" i="28"/>
  <c r="U26" i="29" s="1"/>
  <c r="AI31" i="28"/>
  <c r="AI31" i="29" s="1"/>
  <c r="D29" i="28"/>
  <c r="D29" i="29" s="1"/>
  <c r="AH23" i="28"/>
  <c r="AH23" i="29" s="1"/>
  <c r="V30" i="28"/>
  <c r="V30" i="29" s="1"/>
  <c r="G28" i="28"/>
  <c r="G28" i="29" s="1"/>
  <c r="Y31" i="28"/>
  <c r="Y31" i="29" s="1"/>
  <c r="T28" i="28"/>
  <c r="T28" i="29" s="1"/>
  <c r="AF28" i="28"/>
  <c r="AF28" i="29" s="1"/>
  <c r="AG21" i="28"/>
  <c r="AG21" i="29" s="1"/>
  <c r="M23" i="28"/>
  <c r="M23" i="29" s="1"/>
  <c r="AK26" i="28"/>
  <c r="AK26" i="29" s="1"/>
  <c r="K29" i="28"/>
  <c r="K29" i="29" s="1"/>
  <c r="N26" i="28"/>
  <c r="N26" i="29" s="1"/>
  <c r="Z26" i="28"/>
  <c r="Z26" i="29" s="1"/>
  <c r="M4" i="28"/>
  <c r="M4" i="29" s="1"/>
  <c r="AH16" i="28"/>
  <c r="AH16" i="29" s="1"/>
  <c r="N29" i="28"/>
  <c r="N29" i="29" s="1"/>
  <c r="AA4" i="28"/>
  <c r="AA4" i="29" s="1"/>
  <c r="O10" i="28"/>
  <c r="O10" i="29" s="1"/>
  <c r="K16" i="28"/>
  <c r="K16" i="29" s="1"/>
  <c r="AI16" i="28"/>
  <c r="AI16" i="29" s="1"/>
  <c r="X16" i="28"/>
  <c r="X16" i="29" s="1"/>
  <c r="AC10" i="28"/>
  <c r="AC10" i="29" s="1"/>
  <c r="W15" i="28"/>
  <c r="W15" i="29" s="1"/>
  <c r="AB17" i="28"/>
  <c r="AB17" i="29" s="1"/>
  <c r="AD29" i="28"/>
  <c r="AD29" i="29" s="1"/>
  <c r="AE4" i="28"/>
  <c r="AE4" i="29" s="1"/>
  <c r="Y19" i="28"/>
  <c r="Y19" i="29" s="1"/>
  <c r="H4" i="28"/>
  <c r="H4" i="29" s="1"/>
  <c r="AF4" i="28"/>
  <c r="AF4" i="29" s="1"/>
  <c r="T10" i="28"/>
  <c r="T10" i="29" s="1"/>
  <c r="U4" i="28"/>
  <c r="U4" i="29" s="1"/>
  <c r="I10" i="28"/>
  <c r="I10" i="29" s="1"/>
  <c r="AK14" i="28"/>
  <c r="AK14" i="29" s="1"/>
  <c r="S17" i="28"/>
  <c r="S17" i="29" s="1"/>
  <c r="AG29" i="28"/>
  <c r="AG29" i="29" s="1"/>
  <c r="D30" i="28"/>
  <c r="D30" i="29" s="1"/>
  <c r="J10" i="28"/>
  <c r="J10" i="29" s="1"/>
  <c r="AL14" i="28"/>
  <c r="AL14" i="29" s="1"/>
  <c r="P15" i="28"/>
  <c r="P15" i="29" s="1"/>
  <c r="F16" i="28"/>
  <c r="F16" i="29" s="1"/>
  <c r="V29" i="28"/>
  <c r="V29" i="29" s="1"/>
  <c r="L7" i="28"/>
  <c r="L7" i="29" s="1"/>
  <c r="AJ7" i="28"/>
  <c r="E15" i="28"/>
  <c r="E15" i="29" s="1"/>
  <c r="G16" i="28"/>
  <c r="G16" i="29" s="1"/>
  <c r="P19" i="28"/>
  <c r="P19" i="29" s="1"/>
  <c r="R15" i="28"/>
  <c r="R15" i="29" s="1"/>
  <c r="Z30" i="28"/>
  <c r="Z30" i="29" s="1"/>
  <c r="Y4" i="28"/>
  <c r="Y4" i="29" s="1"/>
  <c r="M29" i="28"/>
  <c r="M29" i="29" s="1"/>
  <c r="N4" i="28"/>
  <c r="N4" i="29" s="1"/>
  <c r="AB18" i="28"/>
  <c r="AB18" i="29" s="1"/>
  <c r="F31" i="28"/>
  <c r="F31" i="29" s="1"/>
  <c r="E30" i="28"/>
  <c r="E30" i="29" s="1"/>
  <c r="G31" i="28"/>
  <c r="G31" i="29" s="1"/>
  <c r="P10" i="28"/>
  <c r="P10" i="29" s="1"/>
  <c r="V19" i="28"/>
  <c r="V19" i="29" s="1"/>
  <c r="T31" i="28"/>
  <c r="T31" i="29" s="1"/>
  <c r="AC4" i="28"/>
  <c r="AC4" i="29" s="1"/>
  <c r="S18" i="28"/>
  <c r="S18" i="29" s="1"/>
  <c r="Q29" i="28"/>
  <c r="Q29" i="29" s="1"/>
  <c r="R10" i="28"/>
  <c r="R10" i="29" s="1"/>
  <c r="AD10" i="28"/>
  <c r="AD10" i="29" s="1"/>
  <c r="X15" i="28"/>
  <c r="X15" i="29" s="1"/>
  <c r="AI14" i="28"/>
  <c r="AI14" i="29" s="1"/>
  <c r="AE29" i="28"/>
  <c r="AE29" i="29" s="1"/>
  <c r="AG30" i="28"/>
  <c r="AG30" i="29" s="1"/>
  <c r="D15" i="28"/>
  <c r="D15" i="29" s="1"/>
  <c r="H10" i="28"/>
  <c r="H10" i="29" s="1"/>
  <c r="AF10" i="28"/>
  <c r="AJ14" i="28"/>
  <c r="AJ14" i="29" s="1"/>
  <c r="Z15" i="28"/>
  <c r="Z15" i="29" s="1"/>
  <c r="L31" i="28"/>
  <c r="L31" i="29" s="1"/>
  <c r="I4" i="28"/>
  <c r="I4" i="29" s="1"/>
  <c r="AH7" i="28"/>
  <c r="O15" i="28"/>
  <c r="O15" i="29" s="1"/>
  <c r="AA19" i="28"/>
  <c r="AA19" i="29" s="1"/>
  <c r="U29" i="28"/>
  <c r="U29" i="29" s="1"/>
  <c r="AK31" i="28"/>
  <c r="AK31" i="29" s="1"/>
  <c r="J4" i="28"/>
  <c r="J4" i="29" s="1"/>
  <c r="K7" i="28"/>
  <c r="K7" i="29" s="1"/>
  <c r="AL31" i="28"/>
  <c r="AL31" i="29" s="1"/>
  <c r="W4" i="28"/>
  <c r="W4" i="29" s="1"/>
  <c r="AA26" i="28"/>
  <c r="AA26" i="29" s="1"/>
  <c r="K28" i="28"/>
  <c r="K28" i="29" s="1"/>
  <c r="R31" i="28"/>
  <c r="R31" i="29" s="1"/>
  <c r="Q23" i="28"/>
  <c r="Q23" i="29" s="1"/>
  <c r="E26" i="28"/>
  <c r="E26" i="29" s="1"/>
  <c r="H11" i="28"/>
  <c r="H11" i="29" s="1"/>
  <c r="O21" i="28"/>
  <c r="O21" i="29" s="1"/>
  <c r="G30" i="28"/>
  <c r="G30" i="29" s="1"/>
  <c r="T23" i="28"/>
  <c r="T23" i="29" s="1"/>
  <c r="AF23" i="28"/>
  <c r="AF23" i="29" s="1"/>
  <c r="F29" i="28"/>
  <c r="F29" i="29" s="1"/>
  <c r="J31" i="28"/>
  <c r="J31" i="29" s="1"/>
  <c r="AC28" i="28"/>
  <c r="AC28" i="29" s="1"/>
  <c r="U30" i="28"/>
  <c r="U30" i="29" s="1"/>
  <c r="AK11" i="28"/>
  <c r="AK11" i="29" s="1"/>
  <c r="AD21" i="28"/>
  <c r="AD21" i="29" s="1"/>
  <c r="AH26" i="28"/>
  <c r="AH26" i="29" s="1"/>
  <c r="AJ31" i="28"/>
  <c r="AJ31" i="29" s="1"/>
  <c r="AI23" i="28"/>
  <c r="AI23" i="29" s="1"/>
  <c r="W26" i="28"/>
  <c r="W26" i="29" s="1"/>
  <c r="S28" i="28"/>
  <c r="S28" i="29" s="1"/>
  <c r="D21" i="28"/>
  <c r="D21" i="29" s="1"/>
  <c r="M11" i="28"/>
  <c r="M11" i="29" s="1"/>
  <c r="Z31" i="28"/>
  <c r="Z31" i="29" s="1"/>
  <c r="Y23" i="28"/>
  <c r="Y23" i="29" s="1"/>
  <c r="I28" i="28"/>
  <c r="I28" i="29" s="1"/>
  <c r="AG28" i="28"/>
  <c r="AG28" i="29" s="1"/>
  <c r="AB11" i="28"/>
  <c r="AB11" i="29" s="1"/>
  <c r="V21" i="28"/>
  <c r="V21" i="29" s="1"/>
  <c r="L29" i="28"/>
  <c r="L29" i="29" s="1"/>
  <c r="N30" i="28"/>
  <c r="N30" i="29" s="1"/>
  <c r="P31" i="28"/>
  <c r="P31" i="29" s="1"/>
  <c r="H6" i="29"/>
  <c r="AC24" i="28"/>
  <c r="AC24" i="29" s="1"/>
  <c r="AH12" i="28"/>
  <c r="AH12" i="29" s="1"/>
  <c r="D6" i="28"/>
  <c r="D6" i="29" s="1"/>
  <c r="AI12" i="28"/>
  <c r="AI12" i="29" s="1"/>
  <c r="G24" i="28"/>
  <c r="G24" i="29" s="1"/>
  <c r="AL9" i="28"/>
  <c r="AL9" i="29" s="1"/>
  <c r="N13" i="28"/>
  <c r="N13" i="29" s="1"/>
  <c r="AB13" i="28"/>
  <c r="AB13" i="29" s="1"/>
  <c r="H19" i="28"/>
  <c r="H19" i="29" s="1"/>
  <c r="T24" i="28"/>
  <c r="T24" i="29" s="1"/>
  <c r="AF24" i="28"/>
  <c r="AF24" i="29" s="1"/>
  <c r="Y12" i="28"/>
  <c r="Y12" i="29" s="1"/>
  <c r="AA28" i="28"/>
  <c r="AA28" i="29" s="1"/>
  <c r="M9" i="28"/>
  <c r="M9" i="29" s="1"/>
  <c r="I14" i="28"/>
  <c r="I14" i="29" s="1"/>
  <c r="E17" i="28"/>
  <c r="E17" i="29" s="1"/>
  <c r="L19" i="28"/>
  <c r="L19" i="29" s="1"/>
  <c r="AE6" i="28"/>
  <c r="AE6" i="29" s="1"/>
  <c r="P12" i="28"/>
  <c r="P12" i="29" s="1"/>
  <c r="F28" i="28"/>
  <c r="F28" i="29" s="1"/>
  <c r="AD9" i="28"/>
  <c r="AD9" i="29" s="1"/>
  <c r="Q12" i="28"/>
  <c r="Q12" i="29" s="1"/>
  <c r="AG17" i="28"/>
  <c r="AG17" i="29" s="1"/>
  <c r="O5" i="28"/>
  <c r="O5" i="29" s="1"/>
  <c r="V6" i="28"/>
  <c r="V6" i="29" s="1"/>
  <c r="R9" i="28"/>
  <c r="R9" i="29" s="1"/>
  <c r="S12" i="28"/>
  <c r="S12" i="29" s="1"/>
  <c r="U28" i="28"/>
  <c r="U28" i="29" s="1"/>
  <c r="K6" i="28"/>
  <c r="K6" i="29" s="1"/>
  <c r="W6" i="28"/>
  <c r="W6" i="29" s="1"/>
  <c r="X13" i="28"/>
  <c r="X13" i="29" s="1"/>
  <c r="Z14" i="28"/>
  <c r="Z14" i="29" s="1"/>
  <c r="J28" i="28"/>
  <c r="J28" i="29" s="1"/>
  <c r="AJ5" i="28"/>
  <c r="AJ5" i="29" s="1"/>
  <c r="AK9" i="28"/>
  <c r="AK9" i="29" s="1"/>
  <c r="BE24" i="21"/>
  <c r="BQ24" i="21" s="1"/>
  <c r="BE30" i="21"/>
  <c r="BQ30" i="21" s="1"/>
  <c r="BE25" i="21"/>
  <c r="BQ25" i="21" s="1"/>
  <c r="BE27" i="21"/>
  <c r="BQ27" i="21" s="1"/>
  <c r="BE28" i="21"/>
  <c r="BQ28" i="21" s="1"/>
  <c r="BE31" i="21"/>
  <c r="BQ31" i="21" s="1"/>
  <c r="BE32" i="21"/>
  <c r="BQ32" i="21" s="1"/>
  <c r="BE26" i="21"/>
  <c r="BQ26" i="21" s="1"/>
  <c r="BE29" i="21"/>
  <c r="BQ29" i="21" s="1"/>
  <c r="BC25" i="21"/>
  <c r="BO25" i="21" s="1"/>
  <c r="BC26" i="21"/>
  <c r="BO26" i="21" s="1"/>
  <c r="BC30" i="21"/>
  <c r="BO30" i="21" s="1"/>
  <c r="BC28" i="21"/>
  <c r="BO28" i="21" s="1"/>
  <c r="BC31" i="21"/>
  <c r="BO31" i="21" s="1"/>
  <c r="BC32" i="21"/>
  <c r="BO32" i="21" s="1"/>
  <c r="BC29" i="21"/>
  <c r="BO29" i="21" s="1"/>
  <c r="BC24" i="21"/>
  <c r="BO24" i="21" s="1"/>
  <c r="BC27" i="21"/>
  <c r="BO27" i="21" s="1"/>
  <c r="BB25" i="21"/>
  <c r="BN25" i="21" s="1"/>
  <c r="BB24" i="21"/>
  <c r="BN24" i="21" s="1"/>
  <c r="BB28" i="21"/>
  <c r="BN28" i="21" s="1"/>
  <c r="BB31" i="21"/>
  <c r="BN31" i="21" s="1"/>
  <c r="BB32" i="21"/>
  <c r="BN32" i="21" s="1"/>
  <c r="BB26" i="21"/>
  <c r="BN26" i="21" s="1"/>
  <c r="BB29" i="21"/>
  <c r="BN29" i="21" s="1"/>
  <c r="BB27" i="21"/>
  <c r="BN27" i="21" s="1"/>
  <c r="BB30" i="21"/>
  <c r="BN30" i="21" s="1"/>
  <c r="BE17" i="21"/>
  <c r="BQ17" i="21" s="1"/>
  <c r="Y2" i="2"/>
  <c r="AA2" i="2" s="1"/>
  <c r="AB2" i="2" s="1"/>
  <c r="AR3" i="21"/>
  <c r="BD3" i="21" s="1"/>
  <c r="BD23" i="21" s="1"/>
  <c r="BP23" i="21" s="1"/>
  <c r="H2" i="2"/>
  <c r="DO27" i="2"/>
  <c r="FY27" i="2" s="1"/>
  <c r="J2" i="2"/>
  <c r="K2" i="2"/>
  <c r="L2" i="2" s="1"/>
  <c r="DO3" i="2"/>
  <c r="FY3" i="2" s="1"/>
  <c r="DO21" i="2"/>
  <c r="FY21" i="2" s="1"/>
  <c r="AS32" i="2"/>
  <c r="C28" i="31"/>
  <c r="S14" i="31"/>
  <c r="S28" i="31"/>
  <c r="S30" i="31"/>
  <c r="S27" i="31"/>
  <c r="S31" i="31"/>
  <c r="S29" i="31"/>
  <c r="S32" i="31"/>
  <c r="S33" i="31"/>
  <c r="S34" i="31"/>
  <c r="S35" i="31"/>
  <c r="C18" i="31"/>
  <c r="T35" i="31"/>
  <c r="Y33" i="31"/>
  <c r="Y34" i="31"/>
  <c r="E18" i="31"/>
  <c r="U34" i="31"/>
  <c r="T34" i="31"/>
  <c r="AA34" i="31"/>
  <c r="G18" i="31"/>
  <c r="AC35" i="31"/>
  <c r="W35" i="31"/>
  <c r="U33" i="31"/>
  <c r="K18" i="31"/>
  <c r="N18" i="31"/>
  <c r="H18" i="31"/>
  <c r="X33" i="31"/>
  <c r="X35" i="31"/>
  <c r="AD35" i="31"/>
  <c r="AB33" i="31"/>
  <c r="AA33" i="31"/>
  <c r="Z33" i="31"/>
  <c r="Z34" i="31"/>
  <c r="AB34" i="31"/>
  <c r="AE34" i="31"/>
  <c r="AE35" i="31"/>
  <c r="X34" i="31"/>
  <c r="AD33" i="31"/>
  <c r="AD34" i="31"/>
  <c r="L18" i="31"/>
  <c r="T33" i="31"/>
  <c r="I18" i="31"/>
  <c r="S9" i="31"/>
  <c r="AE33" i="31"/>
  <c r="U35" i="31"/>
  <c r="AA35" i="31"/>
  <c r="O18" i="31"/>
  <c r="W34" i="31"/>
  <c r="V35" i="31"/>
  <c r="J18" i="31"/>
  <c r="W33" i="31"/>
  <c r="Y35" i="31"/>
  <c r="M18" i="31"/>
  <c r="V34" i="31"/>
  <c r="D18" i="31"/>
  <c r="AB35" i="31"/>
  <c r="Z35" i="31"/>
  <c r="V33" i="31"/>
  <c r="AC34" i="31"/>
  <c r="F18" i="31"/>
  <c r="AC33" i="31"/>
  <c r="DO28" i="2"/>
  <c r="FY28" i="2" s="1"/>
  <c r="M2" i="2"/>
  <c r="N2" i="2" s="1"/>
  <c r="DL32" i="2"/>
  <c r="Y10" i="31"/>
  <c r="AJ7" i="29"/>
  <c r="G7" i="29"/>
  <c r="AH6" i="29"/>
  <c r="Z6" i="29"/>
  <c r="R6" i="29"/>
  <c r="N5" i="29"/>
  <c r="AE32" i="31"/>
  <c r="DO10" i="2"/>
  <c r="FY10" i="2" s="1"/>
  <c r="H28" i="31"/>
  <c r="AB28" i="31"/>
  <c r="AG6" i="29"/>
  <c r="O28" i="31"/>
  <c r="AQ2" i="2"/>
  <c r="A4" i="21"/>
  <c r="C4" i="28" s="1"/>
  <c r="S8" i="31"/>
  <c r="F28" i="31"/>
  <c r="Y10" i="29"/>
  <c r="AH7" i="29"/>
  <c r="G6" i="29"/>
  <c r="AI5" i="29"/>
  <c r="W31" i="31"/>
  <c r="W10" i="31"/>
  <c r="AA28" i="31"/>
  <c r="DO5" i="2"/>
  <c r="FY5" i="2" s="1"/>
  <c r="AC10" i="31"/>
  <c r="E28" i="31"/>
  <c r="AF10" i="29"/>
  <c r="R7" i="29"/>
  <c r="W10" i="29"/>
  <c r="G10" i="29"/>
  <c r="AG7" i="29"/>
  <c r="AK6" i="29"/>
  <c r="AG5" i="29"/>
  <c r="Y5" i="29"/>
  <c r="U10" i="31"/>
  <c r="A5" i="2"/>
  <c r="AX7" i="31"/>
  <c r="P5" i="29"/>
  <c r="S10" i="31"/>
  <c r="V10" i="29"/>
  <c r="Z10" i="31"/>
  <c r="T4" i="29"/>
  <c r="U10" i="29"/>
  <c r="M10" i="29"/>
  <c r="W9" i="29"/>
  <c r="O9" i="29"/>
  <c r="AK7" i="29"/>
  <c r="H7" i="29"/>
  <c r="AI6" i="29"/>
  <c r="BA16" i="21"/>
  <c r="AV4" i="21"/>
  <c r="AZ15" i="21"/>
  <c r="AD31" i="31"/>
  <c r="AZ9" i="21"/>
  <c r="N28" i="31"/>
  <c r="AW6" i="21"/>
  <c r="AW4" i="21"/>
  <c r="AA8" i="31"/>
  <c r="AT16" i="21"/>
  <c r="X32" i="31"/>
  <c r="AX15" i="21"/>
  <c r="AB31" i="31"/>
  <c r="AP15" i="21"/>
  <c r="BN15" i="21" s="1"/>
  <c r="T31" i="31"/>
  <c r="AU12" i="21"/>
  <c r="Y30" i="31"/>
  <c r="AY9" i="21"/>
  <c r="M28" i="31"/>
  <c r="AY7" i="21"/>
  <c r="AC29" i="31"/>
  <c r="AQ7" i="21"/>
  <c r="U29" i="31"/>
  <c r="AU6" i="21"/>
  <c r="Y28" i="31"/>
  <c r="AY5" i="21"/>
  <c r="AC27" i="31"/>
  <c r="AC9" i="31"/>
  <c r="W27" i="31"/>
  <c r="W9" i="31"/>
  <c r="AS16" i="21"/>
  <c r="W32" i="31"/>
  <c r="AW15" i="21"/>
  <c r="AA31" i="31"/>
  <c r="AT12" i="21"/>
  <c r="X30" i="31"/>
  <c r="AX9" i="21"/>
  <c r="L28" i="31"/>
  <c r="AP9" i="21"/>
  <c r="BN9" i="21" s="1"/>
  <c r="D28" i="31"/>
  <c r="AX7" i="21"/>
  <c r="AB29" i="31"/>
  <c r="AP7" i="21"/>
  <c r="BN7" i="21" s="1"/>
  <c r="T29" i="31"/>
  <c r="AT6" i="21"/>
  <c r="X28" i="31"/>
  <c r="AX5" i="21"/>
  <c r="AB27" i="31"/>
  <c r="AB9" i="31"/>
  <c r="AR5" i="21"/>
  <c r="V27" i="31"/>
  <c r="V9" i="31"/>
  <c r="AP4" i="21"/>
  <c r="BN4" i="21" s="1"/>
  <c r="T8" i="31"/>
  <c r="AS15" i="21"/>
  <c r="AZ16" i="21"/>
  <c r="AD32" i="31"/>
  <c r="AR16" i="21"/>
  <c r="V32" i="31"/>
  <c r="AV15" i="21"/>
  <c r="Z31" i="31"/>
  <c r="BA12" i="21"/>
  <c r="AE30" i="31"/>
  <c r="AS12" i="21"/>
  <c r="W30" i="31"/>
  <c r="AW9" i="21"/>
  <c r="K28" i="31"/>
  <c r="AW7" i="21"/>
  <c r="AA29" i="31"/>
  <c r="BA6" i="21"/>
  <c r="AE28" i="31"/>
  <c r="AS6" i="21"/>
  <c r="W28" i="31"/>
  <c r="AQ5" i="21"/>
  <c r="U27" i="31"/>
  <c r="U9" i="31"/>
  <c r="AW32" i="2"/>
  <c r="AT9" i="21"/>
  <c r="AU4" i="21"/>
  <c r="Y8" i="31"/>
  <c r="AY16" i="21"/>
  <c r="AC32" i="31"/>
  <c r="AQ16" i="21"/>
  <c r="U32" i="31"/>
  <c r="AU15" i="21"/>
  <c r="Y31" i="31"/>
  <c r="AZ12" i="21"/>
  <c r="AD30" i="31"/>
  <c r="AR12" i="21"/>
  <c r="V30" i="31"/>
  <c r="AV9" i="21"/>
  <c r="J28" i="31"/>
  <c r="AV7" i="21"/>
  <c r="Z29" i="31"/>
  <c r="AZ6" i="21"/>
  <c r="AD28" i="31"/>
  <c r="AR6" i="21"/>
  <c r="V28" i="31"/>
  <c r="AA27" i="31"/>
  <c r="AA9" i="31"/>
  <c r="AP5" i="21"/>
  <c r="BN5" i="21" s="1"/>
  <c r="T27" i="31"/>
  <c r="T9" i="31"/>
  <c r="AE10" i="31"/>
  <c r="AB10" i="31"/>
  <c r="BA4" i="21"/>
  <c r="AE8" i="31"/>
  <c r="AT4" i="21"/>
  <c r="X8" i="31"/>
  <c r="AX16" i="21"/>
  <c r="AB32" i="31"/>
  <c r="AP16" i="21"/>
  <c r="T32" i="31"/>
  <c r="AT15" i="21"/>
  <c r="X31" i="31"/>
  <c r="AY12" i="21"/>
  <c r="AC30" i="31"/>
  <c r="AQ12" i="21"/>
  <c r="U30" i="31"/>
  <c r="AU9" i="21"/>
  <c r="I28" i="31"/>
  <c r="AU7" i="21"/>
  <c r="Y29" i="31"/>
  <c r="AY6" i="21"/>
  <c r="AC28" i="31"/>
  <c r="AQ6" i="21"/>
  <c r="U28" i="31"/>
  <c r="AV5" i="21"/>
  <c r="Z27" i="31"/>
  <c r="Z9" i="31"/>
  <c r="T10" i="31"/>
  <c r="AZ4" i="21"/>
  <c r="AD8" i="31"/>
  <c r="AS4" i="21"/>
  <c r="W8" i="31"/>
  <c r="AW16" i="21"/>
  <c r="AA32" i="31"/>
  <c r="BA15" i="21"/>
  <c r="AE31" i="31"/>
  <c r="AX12" i="21"/>
  <c r="AB30" i="31"/>
  <c r="AP12" i="21"/>
  <c r="BN12" i="21" s="1"/>
  <c r="T30" i="31"/>
  <c r="AT7" i="21"/>
  <c r="X29" i="31"/>
  <c r="AP6" i="21"/>
  <c r="BN6" i="21" s="1"/>
  <c r="T28" i="31"/>
  <c r="Y27" i="31"/>
  <c r="Y9" i="31"/>
  <c r="AI9" i="2"/>
  <c r="AD10" i="31"/>
  <c r="AR4" i="21"/>
  <c r="V8" i="31"/>
  <c r="AV16" i="21"/>
  <c r="Z32" i="31"/>
  <c r="AR15" i="21"/>
  <c r="V31" i="31"/>
  <c r="AW12" i="21"/>
  <c r="AA30" i="31"/>
  <c r="AS9" i="21"/>
  <c r="G28" i="31"/>
  <c r="BA7" i="21"/>
  <c r="AE29" i="31"/>
  <c r="AS7" i="21"/>
  <c r="W29" i="31"/>
  <c r="AE27" i="31"/>
  <c r="AE9" i="31"/>
  <c r="AA10" i="31"/>
  <c r="X10" i="31"/>
  <c r="AY4" i="21"/>
  <c r="AC8" i="31"/>
  <c r="AX4" i="21"/>
  <c r="AB8" i="31"/>
  <c r="AQ4" i="21"/>
  <c r="U8" i="31"/>
  <c r="AU16" i="21"/>
  <c r="Y32" i="31"/>
  <c r="AY15" i="21"/>
  <c r="AC31" i="31"/>
  <c r="AQ15" i="21"/>
  <c r="U31" i="31"/>
  <c r="AV12" i="21"/>
  <c r="Z30" i="31"/>
  <c r="AZ7" i="21"/>
  <c r="AD29" i="31"/>
  <c r="AR7" i="21"/>
  <c r="V29" i="31"/>
  <c r="AV6" i="21"/>
  <c r="Z28" i="31"/>
  <c r="AD27" i="31"/>
  <c r="AD9" i="31"/>
  <c r="X27" i="31"/>
  <c r="X9" i="31"/>
  <c r="V10" i="31"/>
  <c r="AW23" i="31"/>
  <c r="T11" i="31"/>
  <c r="AC11" i="31"/>
  <c r="S11" i="31"/>
  <c r="Y11" i="31"/>
  <c r="V11" i="31"/>
  <c r="AA11" i="31"/>
  <c r="X11" i="31"/>
  <c r="Z11" i="31"/>
  <c r="AD11" i="31"/>
  <c r="AB11" i="31"/>
  <c r="W11" i="31"/>
  <c r="U11" i="31"/>
  <c r="AE11" i="31"/>
  <c r="BC23" i="21"/>
  <c r="BO23" i="21" s="1"/>
  <c r="BC22" i="21"/>
  <c r="BO22" i="21" s="1"/>
  <c r="BC20" i="21"/>
  <c r="BO20" i="21" s="1"/>
  <c r="BC19" i="21"/>
  <c r="BO19" i="21" s="1"/>
  <c r="BC21" i="21"/>
  <c r="BO21" i="21" s="1"/>
  <c r="BC18" i="21"/>
  <c r="BO18" i="21" s="1"/>
  <c r="BB21" i="21"/>
  <c r="BN21" i="21" s="1"/>
  <c r="BB20" i="21"/>
  <c r="BN20" i="21" s="1"/>
  <c r="BB22" i="21"/>
  <c r="BN22" i="21" s="1"/>
  <c r="BB19" i="21"/>
  <c r="BN19" i="21" s="1"/>
  <c r="BB18" i="21"/>
  <c r="BN18" i="21" s="1"/>
  <c r="BB23" i="21"/>
  <c r="BN23" i="21" s="1"/>
  <c r="BD19" i="21"/>
  <c r="BP19" i="21" s="1"/>
  <c r="BD18" i="21"/>
  <c r="BP18" i="21" s="1"/>
  <c r="BE14" i="21"/>
  <c r="BQ14" i="21" s="1"/>
  <c r="BE22" i="21"/>
  <c r="BQ22" i="21" s="1"/>
  <c r="BE21" i="21"/>
  <c r="BQ21" i="21" s="1"/>
  <c r="BE23" i="21"/>
  <c r="BQ23" i="21" s="1"/>
  <c r="BE18" i="21"/>
  <c r="BQ18" i="21" s="1"/>
  <c r="BE20" i="21"/>
  <c r="BQ20" i="21" s="1"/>
  <c r="BE19" i="21"/>
  <c r="BQ19" i="21" s="1"/>
  <c r="AI7" i="2"/>
  <c r="AQ32" i="2"/>
  <c r="AY3" i="2"/>
  <c r="B4" i="21" s="1"/>
  <c r="AI12" i="2"/>
  <c r="AI4" i="2"/>
  <c r="AV32" i="2"/>
  <c r="AI3" i="2"/>
  <c r="AI10" i="2"/>
  <c r="AX32" i="2"/>
  <c r="AN32" i="2"/>
  <c r="AT32" i="2"/>
  <c r="AR32" i="2"/>
  <c r="AM32" i="2"/>
  <c r="DO14" i="2"/>
  <c r="FY14" i="2" s="1"/>
  <c r="DO30" i="2"/>
  <c r="FY30" i="2" s="1"/>
  <c r="DO15" i="2"/>
  <c r="FY15" i="2" s="1"/>
  <c r="DO9" i="2"/>
  <c r="FY9" i="2" s="1"/>
  <c r="BD5" i="21"/>
  <c r="BN17" i="21"/>
  <c r="AO12" i="21"/>
  <c r="BN13" i="21"/>
  <c r="BC11" i="21"/>
  <c r="BO11" i="21" s="1"/>
  <c r="BC9" i="21"/>
  <c r="BC17" i="21"/>
  <c r="BC16" i="21"/>
  <c r="BO3" i="21"/>
  <c r="BN14" i="21"/>
  <c r="AO16" i="21"/>
  <c r="BN11" i="21"/>
  <c r="BN10" i="21"/>
  <c r="BN16" i="21"/>
  <c r="U49" i="21"/>
  <c r="K49" i="21"/>
  <c r="G49" i="21"/>
  <c r="V49" i="21"/>
  <c r="AG49" i="21"/>
  <c r="AE49" i="21"/>
  <c r="T49" i="21"/>
  <c r="AC49" i="21"/>
  <c r="AO32" i="2"/>
  <c r="AP32" i="2"/>
  <c r="F49" i="21"/>
  <c r="AU32" i="2"/>
  <c r="AI14" i="2"/>
  <c r="AI15" i="2"/>
  <c r="AI13" i="2"/>
  <c r="AI11" i="2"/>
  <c r="AI8" i="2"/>
  <c r="AS10" i="21"/>
  <c r="O32" i="2"/>
  <c r="AY11" i="2"/>
  <c r="B12" i="21" s="1"/>
  <c r="Q33" i="2"/>
  <c r="Y49" i="21"/>
  <c r="R49" i="21"/>
  <c r="AI49" i="21"/>
  <c r="O49" i="21"/>
  <c r="AB49" i="21"/>
  <c r="X49" i="21"/>
  <c r="N49" i="21"/>
  <c r="J49" i="21"/>
  <c r="AF49" i="21"/>
  <c r="AA49" i="21"/>
  <c r="M49" i="21"/>
  <c r="H49" i="21"/>
  <c r="AH49" i="21"/>
  <c r="S49" i="21"/>
  <c r="D49" i="21"/>
  <c r="AO15" i="21"/>
  <c r="AO11" i="21"/>
  <c r="BC4" i="21"/>
  <c r="BC8" i="21"/>
  <c r="BO8" i="21" s="1"/>
  <c r="BE5" i="21"/>
  <c r="BP3" i="21"/>
  <c r="AO9" i="21"/>
  <c r="AO17" i="21"/>
  <c r="BC7" i="21"/>
  <c r="BC10" i="21"/>
  <c r="AO6" i="21"/>
  <c r="AQ17" i="21"/>
  <c r="B17" i="21"/>
  <c r="AZ13" i="21"/>
  <c r="AI5" i="2"/>
  <c r="AH32" i="2"/>
  <c r="BE7" i="21"/>
  <c r="BE15" i="21"/>
  <c r="BQ15" i="21" s="1"/>
  <c r="BE8" i="21"/>
  <c r="BQ8" i="21" s="1"/>
  <c r="BE16" i="21"/>
  <c r="BQ16" i="21" s="1"/>
  <c r="BQ3" i="21"/>
  <c r="AV14" i="21"/>
  <c r="AY13" i="2"/>
  <c r="B14" i="21" s="1"/>
  <c r="AY10" i="2"/>
  <c r="B11" i="21" s="1"/>
  <c r="AR11" i="21"/>
  <c r="BE12" i="21"/>
  <c r="BE13" i="21"/>
  <c r="AY14" i="2"/>
  <c r="B15" i="21" s="1"/>
  <c r="AY6" i="2"/>
  <c r="B7" i="21" s="1"/>
  <c r="DO29" i="2"/>
  <c r="FY29" i="2" s="1"/>
  <c r="DO26" i="2"/>
  <c r="FY26" i="2" s="1"/>
  <c r="DO24" i="2"/>
  <c r="FY24" i="2" s="1"/>
  <c r="DO22" i="2"/>
  <c r="FY22" i="2" s="1"/>
  <c r="DO20" i="2"/>
  <c r="FY20" i="2" s="1"/>
  <c r="DO19" i="2"/>
  <c r="FY19" i="2" s="1"/>
  <c r="DO18" i="2"/>
  <c r="FY18" i="2" s="1"/>
  <c r="DO16" i="2"/>
  <c r="FY16" i="2" s="1"/>
  <c r="DO13" i="2"/>
  <c r="FY13" i="2" s="1"/>
  <c r="DO12" i="2"/>
  <c r="FY12" i="2" s="1"/>
  <c r="DO11" i="2"/>
  <c r="FY11" i="2" s="1"/>
  <c r="DO8" i="2"/>
  <c r="FY8" i="2" s="1"/>
  <c r="DO7" i="2"/>
  <c r="FY7" i="2" s="1"/>
  <c r="DO6" i="2"/>
  <c r="FY6" i="2" s="1"/>
  <c r="DO4" i="2"/>
  <c r="FY4" i="2" s="1"/>
  <c r="AU5" i="21"/>
  <c r="AP8" i="21"/>
  <c r="BN8" i="21" s="1"/>
  <c r="AY7" i="2"/>
  <c r="B8" i="21" s="1"/>
  <c r="AG32" i="2"/>
  <c r="BE10" i="21"/>
  <c r="BE11" i="21"/>
  <c r="BQ11" i="21" s="1"/>
  <c r="BC5" i="21"/>
  <c r="BC13" i="21"/>
  <c r="BO13" i="21" s="1"/>
  <c r="BC6" i="21"/>
  <c r="BC14" i="21"/>
  <c r="BO14" i="21" s="1"/>
  <c r="AY15" i="2"/>
  <c r="B16" i="21" s="1"/>
  <c r="AO8" i="21"/>
  <c r="AO14" i="21"/>
  <c r="AO7" i="21"/>
  <c r="AS13" i="21"/>
  <c r="AY12" i="2"/>
  <c r="B13" i="21" s="1"/>
  <c r="AI6" i="2"/>
  <c r="BE4" i="21"/>
  <c r="BE6" i="21"/>
  <c r="BE9" i="21"/>
  <c r="BC12" i="21"/>
  <c r="BC15" i="21"/>
  <c r="P32" i="2"/>
  <c r="AQ10" i="21"/>
  <c r="AY9" i="2"/>
  <c r="B10" i="21" s="1"/>
  <c r="AQ9" i="21"/>
  <c r="AY8" i="2"/>
  <c r="B9" i="21" s="1"/>
  <c r="AX6" i="21"/>
  <c r="AY5" i="2"/>
  <c r="B6" i="21" s="1"/>
  <c r="AS5" i="21"/>
  <c r="AY4" i="2"/>
  <c r="Q49" i="21"/>
  <c r="Z49" i="21"/>
  <c r="C49" i="21"/>
  <c r="L49" i="21"/>
  <c r="AL37" i="21"/>
  <c r="AL49" i="21" s="1"/>
  <c r="E49" i="21"/>
  <c r="AK27" i="2" l="1"/>
  <c r="AK28" i="2" s="1"/>
  <c r="AK29" i="2" s="1"/>
  <c r="AK30" i="2" s="1"/>
  <c r="AK31" i="2" s="1"/>
  <c r="S36" i="31"/>
  <c r="Y38" i="31"/>
  <c r="Y37" i="31"/>
  <c r="AC38" i="31"/>
  <c r="U36" i="31"/>
  <c r="U42" i="31" s="1"/>
  <c r="K34" i="31"/>
  <c r="Y36" i="31"/>
  <c r="S37" i="31"/>
  <c r="AD37" i="31"/>
  <c r="AE36" i="31"/>
  <c r="AE42" i="31" s="1"/>
  <c r="AB36" i="31"/>
  <c r="AB41" i="31" s="1"/>
  <c r="H34" i="31"/>
  <c r="AA36" i="31"/>
  <c r="AA37" i="31"/>
  <c r="AB38" i="31"/>
  <c r="W38" i="31"/>
  <c r="I34" i="31"/>
  <c r="AC36" i="31"/>
  <c r="V37" i="31"/>
  <c r="Z37" i="31"/>
  <c r="E34" i="31"/>
  <c r="W37" i="31"/>
  <c r="AC37" i="31"/>
  <c r="AC41" i="31" s="1"/>
  <c r="G34" i="31"/>
  <c r="X38" i="31"/>
  <c r="M34" i="31"/>
  <c r="T37" i="31"/>
  <c r="T41" i="31" s="1"/>
  <c r="V36" i="31"/>
  <c r="V41" i="31" s="1"/>
  <c r="U37" i="31"/>
  <c r="T36" i="31"/>
  <c r="U38" i="31"/>
  <c r="AD38" i="31"/>
  <c r="AE37" i="31"/>
  <c r="O34" i="31"/>
  <c r="AA38" i="31"/>
  <c r="W36" i="31"/>
  <c r="AB37" i="31"/>
  <c r="T38" i="31"/>
  <c r="L34" i="31"/>
  <c r="S38" i="31"/>
  <c r="D34" i="31"/>
  <c r="V38" i="31"/>
  <c r="AE38" i="31"/>
  <c r="AD36" i="31"/>
  <c r="AD41" i="31" s="1"/>
  <c r="N34" i="31"/>
  <c r="F34" i="31"/>
  <c r="C34" i="31"/>
  <c r="X37" i="31"/>
  <c r="Z38" i="31"/>
  <c r="J34" i="31"/>
  <c r="Z36" i="31"/>
  <c r="X36" i="31"/>
  <c r="X42" i="31" s="1"/>
  <c r="BD17" i="21"/>
  <c r="BP17" i="21" s="1"/>
  <c r="AC2" i="2"/>
  <c r="BD21" i="21"/>
  <c r="BP21" i="21" s="1"/>
  <c r="BD10" i="21"/>
  <c r="BP10" i="21" s="1"/>
  <c r="BD14" i="21"/>
  <c r="BP14" i="21" s="1"/>
  <c r="BD22" i="21"/>
  <c r="BP22" i="21" s="1"/>
  <c r="BD15" i="21"/>
  <c r="BP15" i="21" s="1"/>
  <c r="BD20" i="21"/>
  <c r="BP20" i="21" s="1"/>
  <c r="BD11" i="21"/>
  <c r="BP11" i="21" s="1"/>
  <c r="BD12" i="21"/>
  <c r="BD9" i="21"/>
  <c r="BP9" i="21" s="1"/>
  <c r="BD16" i="21"/>
  <c r="BD6" i="21"/>
  <c r="BP6" i="21" s="1"/>
  <c r="AO4" i="21"/>
  <c r="BD4" i="21"/>
  <c r="BD7" i="21"/>
  <c r="Z2" i="2"/>
  <c r="BD13" i="21"/>
  <c r="BP13" i="21" s="1"/>
  <c r="BD8" i="21"/>
  <c r="BP8" i="21" s="1"/>
  <c r="BP4" i="21"/>
  <c r="AO13" i="21"/>
  <c r="AO5" i="21"/>
  <c r="BQ9" i="21"/>
  <c r="BD27" i="21"/>
  <c r="BP27" i="21" s="1"/>
  <c r="BD31" i="21"/>
  <c r="BP31" i="21" s="1"/>
  <c r="BD25" i="21"/>
  <c r="BP25" i="21" s="1"/>
  <c r="BD32" i="21"/>
  <c r="BP32" i="21" s="1"/>
  <c r="BD28" i="21"/>
  <c r="BP28" i="21" s="1"/>
  <c r="BD30" i="21"/>
  <c r="BP30" i="21" s="1"/>
  <c r="BD26" i="21"/>
  <c r="BP26" i="21" s="1"/>
  <c r="BD29" i="21"/>
  <c r="BP29" i="21" s="1"/>
  <c r="BD24" i="21"/>
  <c r="BP24" i="21" s="1"/>
  <c r="BQ6" i="21"/>
  <c r="BQ12" i="21"/>
  <c r="BO16" i="21"/>
  <c r="BQ7" i="21"/>
  <c r="BO15" i="21"/>
  <c r="BP16" i="21"/>
  <c r="BP5" i="21"/>
  <c r="BP7" i="21"/>
  <c r="BO5" i="21"/>
  <c r="BQ10" i="21"/>
  <c r="AS2" i="2"/>
  <c r="AR2" i="2"/>
  <c r="AU3" i="21" s="1"/>
  <c r="BG3" i="21" s="1"/>
  <c r="AT3" i="21"/>
  <c r="BF3" i="21" s="1"/>
  <c r="BO6" i="21"/>
  <c r="BO12" i="21"/>
  <c r="BO4" i="21"/>
  <c r="AD2" i="2"/>
  <c r="AE2" i="2"/>
  <c r="AF2" i="2" s="1"/>
  <c r="BQ4" i="21"/>
  <c r="BO7" i="21"/>
  <c r="A6" i="2"/>
  <c r="AX8" i="31"/>
  <c r="BP12" i="21"/>
  <c r="Z42" i="31"/>
  <c r="Z41" i="31"/>
  <c r="X41" i="31"/>
  <c r="AE41" i="31"/>
  <c r="W41" i="31"/>
  <c r="W42" i="31"/>
  <c r="Y42" i="31"/>
  <c r="Y41" i="31"/>
  <c r="AA42" i="31"/>
  <c r="AA41" i="31"/>
  <c r="U41" i="31"/>
  <c r="AW24" i="31"/>
  <c r="T12" i="31"/>
  <c r="X12" i="31"/>
  <c r="U12" i="31"/>
  <c r="S12" i="31"/>
  <c r="Z12" i="31"/>
  <c r="V12" i="31"/>
  <c r="AB12" i="31"/>
  <c r="W12" i="31"/>
  <c r="AD12" i="31"/>
  <c r="AC12" i="31"/>
  <c r="Y12" i="31"/>
  <c r="AA12" i="31"/>
  <c r="AE12" i="31"/>
  <c r="AO10" i="21"/>
  <c r="BQ13" i="21"/>
  <c r="BQ5" i="21"/>
  <c r="BO17" i="21"/>
  <c r="BO9" i="21"/>
  <c r="BO10" i="21"/>
  <c r="AY33" i="2"/>
  <c r="B5" i="21"/>
  <c r="AY2" i="2"/>
  <c r="AI32" i="2"/>
  <c r="T42" i="31" l="1"/>
  <c r="AD42" i="31"/>
  <c r="AC42" i="31"/>
  <c r="V42" i="31"/>
  <c r="AB42" i="31"/>
  <c r="BF26" i="21"/>
  <c r="BR26" i="21" s="1"/>
  <c r="BF24" i="21"/>
  <c r="BR24" i="21" s="1"/>
  <c r="BF27" i="21"/>
  <c r="BR27" i="21" s="1"/>
  <c r="BF30" i="21"/>
  <c r="BR30" i="21" s="1"/>
  <c r="BF31" i="21"/>
  <c r="BR31" i="21" s="1"/>
  <c r="BF32" i="21"/>
  <c r="BR32" i="21" s="1"/>
  <c r="BF29" i="21"/>
  <c r="BR29" i="21" s="1"/>
  <c r="BF25" i="21"/>
  <c r="BR25" i="21" s="1"/>
  <c r="BF28" i="21"/>
  <c r="BR28" i="21" s="1"/>
  <c r="BG28" i="21"/>
  <c r="BS28" i="21" s="1"/>
  <c r="BG26" i="21"/>
  <c r="BS26" i="21" s="1"/>
  <c r="BG29" i="21"/>
  <c r="BS29" i="21" s="1"/>
  <c r="BG24" i="21"/>
  <c r="BS24" i="21" s="1"/>
  <c r="BG27" i="21"/>
  <c r="BS27" i="21" s="1"/>
  <c r="BG30" i="21"/>
  <c r="BS30" i="21" s="1"/>
  <c r="BG31" i="21"/>
  <c r="BS31" i="21" s="1"/>
  <c r="BG32" i="21"/>
  <c r="BS32" i="21" s="1"/>
  <c r="BG25" i="21"/>
  <c r="BS25" i="21" s="1"/>
  <c r="A7" i="2"/>
  <c r="AX9" i="31"/>
  <c r="BF15" i="21"/>
  <c r="BR15" i="21" s="1"/>
  <c r="BF13" i="21"/>
  <c r="BR13" i="21" s="1"/>
  <c r="BF17" i="21"/>
  <c r="BR17" i="21" s="1"/>
  <c r="CC10" i="21" s="1"/>
  <c r="BF4" i="21"/>
  <c r="BR4" i="21" s="1"/>
  <c r="BF12" i="21"/>
  <c r="BR12" i="21" s="1"/>
  <c r="BR3" i="21"/>
  <c r="BF19" i="21"/>
  <c r="BR19" i="21" s="1"/>
  <c r="BF20" i="21"/>
  <c r="BR20" i="21" s="1"/>
  <c r="BF14" i="21"/>
  <c r="BR14" i="21" s="1"/>
  <c r="CC8" i="21" s="1"/>
  <c r="BF8" i="21"/>
  <c r="BR8" i="21" s="1"/>
  <c r="BF21" i="21"/>
  <c r="BR21" i="21" s="1"/>
  <c r="BF18" i="21"/>
  <c r="BR18" i="21" s="1"/>
  <c r="BF22" i="21"/>
  <c r="BR22" i="21" s="1"/>
  <c r="BF10" i="21"/>
  <c r="BR10" i="21" s="1"/>
  <c r="CC6" i="21" s="1"/>
  <c r="BF11" i="21"/>
  <c r="BR11" i="21" s="1"/>
  <c r="BF6" i="21"/>
  <c r="BR6" i="21" s="1"/>
  <c r="BF23" i="21"/>
  <c r="BR23" i="21" s="1"/>
  <c r="BF7" i="21"/>
  <c r="BR7" i="21" s="1"/>
  <c r="BF9" i="21"/>
  <c r="BR9" i="21" s="1"/>
  <c r="BF16" i="21"/>
  <c r="BR16" i="21" s="1"/>
  <c r="BF5" i="21"/>
  <c r="BR5" i="21" s="1"/>
  <c r="BG23" i="21"/>
  <c r="BS23" i="21" s="1"/>
  <c r="BG7" i="21"/>
  <c r="BS7" i="21" s="1"/>
  <c r="BG15" i="21"/>
  <c r="BS15" i="21" s="1"/>
  <c r="BG11" i="21"/>
  <c r="BS11" i="21" s="1"/>
  <c r="BG19" i="21"/>
  <c r="BS19" i="21" s="1"/>
  <c r="BG4" i="21"/>
  <c r="BS4" i="21" s="1"/>
  <c r="BS3" i="21"/>
  <c r="BG12" i="21"/>
  <c r="BS12" i="21" s="1"/>
  <c r="BG8" i="21"/>
  <c r="BS8" i="21" s="1"/>
  <c r="CC5" i="21" s="1"/>
  <c r="BG21" i="21"/>
  <c r="BS21" i="21" s="1"/>
  <c r="BG22" i="21"/>
  <c r="BS22" i="21" s="1"/>
  <c r="BG17" i="21"/>
  <c r="BS17" i="21" s="1"/>
  <c r="CC11" i="21" s="1"/>
  <c r="BG16" i="21"/>
  <c r="BS16" i="21" s="1"/>
  <c r="BG14" i="21"/>
  <c r="BS14" i="21" s="1"/>
  <c r="CC9" i="21" s="1"/>
  <c r="BG18" i="21"/>
  <c r="BS18" i="21" s="1"/>
  <c r="BG9" i="21"/>
  <c r="BS9" i="21" s="1"/>
  <c r="BG13" i="21"/>
  <c r="BS13" i="21" s="1"/>
  <c r="BG20" i="21"/>
  <c r="BS20" i="21" s="1"/>
  <c r="BG10" i="21"/>
  <c r="BS10" i="21" s="1"/>
  <c r="CC7" i="21" s="1"/>
  <c r="BG5" i="21"/>
  <c r="BS5" i="21" s="1"/>
  <c r="BG6" i="21"/>
  <c r="BS6" i="21" s="1"/>
  <c r="AT2" i="2"/>
  <c r="AW3" i="21" s="1"/>
  <c r="BI3" i="21" s="1"/>
  <c r="AV3" i="21"/>
  <c r="BH3" i="21" s="1"/>
  <c r="AU2" i="2"/>
  <c r="AW25" i="31"/>
  <c r="S13" i="31"/>
  <c r="T13" i="31"/>
  <c r="W13" i="31"/>
  <c r="AE13" i="31"/>
  <c r="AB13" i="31"/>
  <c r="Z13" i="31"/>
  <c r="AD13" i="31"/>
  <c r="AA13" i="31"/>
  <c r="AC13" i="31"/>
  <c r="X13" i="31"/>
  <c r="U13" i="31"/>
  <c r="Y13" i="31"/>
  <c r="V13" i="31"/>
  <c r="BH28" i="21" l="1"/>
  <c r="BT28" i="21" s="1"/>
  <c r="BH31" i="21"/>
  <c r="BT31" i="21" s="1"/>
  <c r="BH32" i="21"/>
  <c r="BT32" i="21" s="1"/>
  <c r="BH26" i="21"/>
  <c r="BT26" i="21" s="1"/>
  <c r="BH29" i="21"/>
  <c r="BT29" i="21" s="1"/>
  <c r="BH24" i="21"/>
  <c r="BT24" i="21" s="1"/>
  <c r="BH27" i="21"/>
  <c r="BT27" i="21" s="1"/>
  <c r="BH30" i="21"/>
  <c r="BT30" i="21" s="1"/>
  <c r="BH25" i="21"/>
  <c r="BT25" i="21" s="1"/>
  <c r="BI28" i="21"/>
  <c r="BU28" i="21" s="1"/>
  <c r="BI31" i="21"/>
  <c r="BU31" i="21" s="1"/>
  <c r="BI32" i="21"/>
  <c r="BU32" i="21" s="1"/>
  <c r="BI30" i="21"/>
  <c r="BU30" i="21" s="1"/>
  <c r="BI26" i="21"/>
  <c r="BU26" i="21" s="1"/>
  <c r="BI29" i="21"/>
  <c r="BU29" i="21" s="1"/>
  <c r="BI24" i="21"/>
  <c r="BU24" i="21" s="1"/>
  <c r="BI27" i="21"/>
  <c r="BU27" i="21" s="1"/>
  <c r="BI25" i="21"/>
  <c r="BU25" i="21" s="1"/>
  <c r="BS33" i="21"/>
  <c r="BI21" i="21"/>
  <c r="BU21" i="21" s="1"/>
  <c r="BI16" i="21"/>
  <c r="BU16" i="21" s="1"/>
  <c r="BI14" i="21"/>
  <c r="BU14" i="21" s="1"/>
  <c r="BI5" i="21"/>
  <c r="BU5" i="21" s="1"/>
  <c r="BI12" i="21"/>
  <c r="BU12" i="21" s="1"/>
  <c r="BI4" i="21"/>
  <c r="BU4" i="21" s="1"/>
  <c r="BI17" i="21"/>
  <c r="BU17" i="21" s="1"/>
  <c r="BI7" i="21"/>
  <c r="BU7" i="21" s="1"/>
  <c r="BI23" i="21"/>
  <c r="BU23" i="21" s="1"/>
  <c r="BI8" i="21"/>
  <c r="BU8" i="21" s="1"/>
  <c r="BI15" i="21"/>
  <c r="BU15" i="21" s="1"/>
  <c r="BI13" i="21"/>
  <c r="BU13" i="21" s="1"/>
  <c r="BI19" i="21"/>
  <c r="BU19" i="21" s="1"/>
  <c r="BI20" i="21"/>
  <c r="BU20" i="21" s="1"/>
  <c r="BI10" i="21"/>
  <c r="BU10" i="21" s="1"/>
  <c r="BI22" i="21"/>
  <c r="BU22" i="21" s="1"/>
  <c r="BI18" i="21"/>
  <c r="BU18" i="21" s="1"/>
  <c r="BI9" i="21"/>
  <c r="BU9" i="21" s="1"/>
  <c r="BU3" i="21"/>
  <c r="BI11" i="21"/>
  <c r="BU11" i="21" s="1"/>
  <c r="BI6" i="21"/>
  <c r="BU6" i="21" s="1"/>
  <c r="CC4" i="21"/>
  <c r="CD5" i="21" s="1"/>
  <c r="A8" i="2"/>
  <c r="AX10" i="31"/>
  <c r="BR33" i="21"/>
  <c r="AV2" i="2"/>
  <c r="AY3" i="21" s="1"/>
  <c r="BK3" i="21" s="1"/>
  <c r="AW2" i="2"/>
  <c r="AX3" i="21"/>
  <c r="BJ3" i="21" s="1"/>
  <c r="BH19" i="21"/>
  <c r="BT19" i="21" s="1"/>
  <c r="BH17" i="21"/>
  <c r="BT17" i="21" s="1"/>
  <c r="BH8" i="21"/>
  <c r="BT8" i="21" s="1"/>
  <c r="BH9" i="21"/>
  <c r="BT9" i="21" s="1"/>
  <c r="BH6" i="21"/>
  <c r="BT6" i="21" s="1"/>
  <c r="BH5" i="21"/>
  <c r="BT5" i="21" s="1"/>
  <c r="BH23" i="21"/>
  <c r="BT23" i="21" s="1"/>
  <c r="BH21" i="21"/>
  <c r="BT21" i="21" s="1"/>
  <c r="BH12" i="21"/>
  <c r="BT12" i="21" s="1"/>
  <c r="BH15" i="21"/>
  <c r="BT15" i="21" s="1"/>
  <c r="BH18" i="21"/>
  <c r="BT18" i="21" s="1"/>
  <c r="BH22" i="21"/>
  <c r="BT22" i="21" s="1"/>
  <c r="BH14" i="21"/>
  <c r="BT14" i="21" s="1"/>
  <c r="BT3" i="21"/>
  <c r="BH7" i="21"/>
  <c r="BT7" i="21" s="1"/>
  <c r="BH20" i="21"/>
  <c r="BT20" i="21" s="1"/>
  <c r="BH4" i="21"/>
  <c r="BT4" i="21" s="1"/>
  <c r="BH16" i="21"/>
  <c r="BT16" i="21" s="1"/>
  <c r="BH13" i="21"/>
  <c r="BT13" i="21" s="1"/>
  <c r="BH10" i="21"/>
  <c r="BT10" i="21" s="1"/>
  <c r="BH11" i="21"/>
  <c r="BT11" i="21" s="1"/>
  <c r="AW26" i="31"/>
  <c r="V14" i="31"/>
  <c r="T14" i="31"/>
  <c r="AD14" i="31"/>
  <c r="AC14" i="31"/>
  <c r="AE14" i="31"/>
  <c r="AA14" i="31"/>
  <c r="Y14" i="31"/>
  <c r="W14" i="31"/>
  <c r="AB14" i="31"/>
  <c r="U14" i="31"/>
  <c r="Z14" i="31"/>
  <c r="X14" i="31"/>
  <c r="BJ25" i="21" l="1"/>
  <c r="BV25" i="21" s="1"/>
  <c r="BJ24" i="21"/>
  <c r="BV24" i="21" s="1"/>
  <c r="BJ27" i="21"/>
  <c r="BV27" i="21" s="1"/>
  <c r="BJ28" i="21"/>
  <c r="BV28" i="21" s="1"/>
  <c r="BJ31" i="21"/>
  <c r="BV31" i="21" s="1"/>
  <c r="BJ32" i="21"/>
  <c r="BV32" i="21" s="1"/>
  <c r="BJ26" i="21"/>
  <c r="BV26" i="21" s="1"/>
  <c r="BJ29" i="21"/>
  <c r="BV29" i="21" s="1"/>
  <c r="BJ30" i="21"/>
  <c r="BV30" i="21" s="1"/>
  <c r="BK25" i="21"/>
  <c r="BW25" i="21" s="1"/>
  <c r="BK29" i="21"/>
  <c r="BW29" i="21" s="1"/>
  <c r="BK28" i="21"/>
  <c r="BW28" i="21" s="1"/>
  <c r="BK31" i="21"/>
  <c r="BW31" i="21" s="1"/>
  <c r="BK32" i="21"/>
  <c r="BW32" i="21" s="1"/>
  <c r="BK26" i="21"/>
  <c r="BW26" i="21" s="1"/>
  <c r="BK24" i="21"/>
  <c r="BW24" i="21" s="1"/>
  <c r="BK27" i="21"/>
  <c r="BW27" i="21" s="1"/>
  <c r="BK30" i="21"/>
  <c r="BW30" i="21" s="1"/>
  <c r="BJ6" i="21"/>
  <c r="BV6" i="21" s="1"/>
  <c r="BJ11" i="21"/>
  <c r="BV11" i="21" s="1"/>
  <c r="BJ7" i="21"/>
  <c r="BV7" i="21" s="1"/>
  <c r="BJ21" i="21"/>
  <c r="BV21" i="21" s="1"/>
  <c r="BJ9" i="21"/>
  <c r="BV9" i="21" s="1"/>
  <c r="BJ14" i="21"/>
  <c r="BV14" i="21" s="1"/>
  <c r="BJ4" i="21"/>
  <c r="BV4" i="21" s="1"/>
  <c r="BJ17" i="21"/>
  <c r="BV17" i="21" s="1"/>
  <c r="BJ16" i="21"/>
  <c r="BV16" i="21" s="1"/>
  <c r="BJ18" i="21"/>
  <c r="BV18" i="21" s="1"/>
  <c r="BJ19" i="21"/>
  <c r="BV19" i="21" s="1"/>
  <c r="BJ8" i="21"/>
  <c r="BV8" i="21" s="1"/>
  <c r="BJ23" i="21"/>
  <c r="BV23" i="21" s="1"/>
  <c r="BJ10" i="21"/>
  <c r="BV10" i="21" s="1"/>
  <c r="BJ12" i="21"/>
  <c r="BV12" i="21" s="1"/>
  <c r="BJ5" i="21"/>
  <c r="BV5" i="21" s="1"/>
  <c r="BJ20" i="21"/>
  <c r="BV20" i="21" s="1"/>
  <c r="BJ22" i="21"/>
  <c r="BV22" i="21" s="1"/>
  <c r="BJ15" i="21"/>
  <c r="BV15" i="21" s="1"/>
  <c r="BV3" i="21"/>
  <c r="BJ13" i="21"/>
  <c r="BV13" i="21" s="1"/>
  <c r="AX2" i="2"/>
  <c r="AZ3" i="21"/>
  <c r="BL3" i="21" s="1"/>
  <c r="A9" i="2"/>
  <c r="AX11" i="31"/>
  <c r="BK8" i="21"/>
  <c r="BW8" i="21" s="1"/>
  <c r="BK14" i="21"/>
  <c r="BW14" i="21" s="1"/>
  <c r="BW3" i="21"/>
  <c r="BK20" i="21"/>
  <c r="BW20" i="21" s="1"/>
  <c r="BK9" i="21"/>
  <c r="BW9" i="21" s="1"/>
  <c r="BK21" i="21"/>
  <c r="BW21" i="21" s="1"/>
  <c r="BK18" i="21"/>
  <c r="BW18" i="21" s="1"/>
  <c r="BK22" i="21"/>
  <c r="BW22" i="21" s="1"/>
  <c r="BK15" i="21"/>
  <c r="BW15" i="21" s="1"/>
  <c r="BK5" i="21"/>
  <c r="BW5" i="21" s="1"/>
  <c r="BK19" i="21"/>
  <c r="BW19" i="21" s="1"/>
  <c r="BK11" i="21"/>
  <c r="BW11" i="21" s="1"/>
  <c r="BK16" i="21"/>
  <c r="BW16" i="21" s="1"/>
  <c r="BK4" i="21"/>
  <c r="BW4" i="21" s="1"/>
  <c r="BK12" i="21"/>
  <c r="BW12" i="21" s="1"/>
  <c r="BK17" i="21"/>
  <c r="BW17" i="21" s="1"/>
  <c r="BK10" i="21"/>
  <c r="BW10" i="21" s="1"/>
  <c r="BK13" i="21"/>
  <c r="BW13" i="21" s="1"/>
  <c r="BK23" i="21"/>
  <c r="BW23" i="21" s="1"/>
  <c r="BK7" i="21"/>
  <c r="BW7" i="21" s="1"/>
  <c r="BK6" i="21"/>
  <c r="BW6" i="21" s="1"/>
  <c r="AW27" i="31"/>
  <c r="AC15" i="31"/>
  <c r="W15" i="31"/>
  <c r="AA15" i="31"/>
  <c r="X15" i="31"/>
  <c r="AB15" i="31"/>
  <c r="T15" i="31"/>
  <c r="Z15" i="31"/>
  <c r="AE15" i="31"/>
  <c r="S15" i="31"/>
  <c r="U15" i="31"/>
  <c r="Y15" i="31"/>
  <c r="V15" i="31"/>
  <c r="AD15" i="31"/>
  <c r="AZ24" i="2" l="1"/>
  <c r="AZ25" i="2"/>
  <c r="AZ23" i="2"/>
  <c r="BL24" i="21"/>
  <c r="BX24" i="21" s="1"/>
  <c r="BL25" i="21"/>
  <c r="BX25" i="21" s="1"/>
  <c r="BL31" i="21"/>
  <c r="BX31" i="21" s="1"/>
  <c r="BL32" i="21"/>
  <c r="BX32" i="21" s="1"/>
  <c r="BL28" i="21"/>
  <c r="BX28" i="21" s="1"/>
  <c r="BL26" i="21"/>
  <c r="BX26" i="21" s="1"/>
  <c r="BL29" i="21"/>
  <c r="BX29" i="21" s="1"/>
  <c r="BL27" i="21"/>
  <c r="BX27" i="21" s="1"/>
  <c r="BL30" i="21"/>
  <c r="BX30" i="21" s="1"/>
  <c r="AZ30" i="2"/>
  <c r="AZ21" i="2"/>
  <c r="AZ19" i="2"/>
  <c r="AZ18" i="2"/>
  <c r="AZ17" i="2"/>
  <c r="AZ29" i="2"/>
  <c r="AZ20" i="2"/>
  <c r="AZ27" i="2"/>
  <c r="AZ31" i="2"/>
  <c r="AZ26" i="2"/>
  <c r="AZ22" i="2"/>
  <c r="AZ28" i="2"/>
  <c r="BA3" i="21"/>
  <c r="BM3" i="21" s="1"/>
  <c r="AZ16" i="2"/>
  <c r="AZ13" i="2"/>
  <c r="AZ6" i="2"/>
  <c r="AZ9" i="2"/>
  <c r="AZ7" i="2"/>
  <c r="AZ4" i="2"/>
  <c r="AZ15" i="2"/>
  <c r="AZ14" i="2"/>
  <c r="AZ5" i="2"/>
  <c r="AZ10" i="2"/>
  <c r="AZ11" i="2"/>
  <c r="AZ3" i="2"/>
  <c r="AM4" i="21" s="1"/>
  <c r="AZ12" i="2"/>
  <c r="AZ8" i="2"/>
  <c r="A10" i="2"/>
  <c r="AX12" i="31"/>
  <c r="BL20" i="21"/>
  <c r="BX20" i="21" s="1"/>
  <c r="BL9" i="21"/>
  <c r="BX9" i="21" s="1"/>
  <c r="BL17" i="21"/>
  <c r="BX17" i="21" s="1"/>
  <c r="BL14" i="21"/>
  <c r="BX14" i="21" s="1"/>
  <c r="BL12" i="21"/>
  <c r="BX12" i="21" s="1"/>
  <c r="BL8" i="21"/>
  <c r="BX8" i="21" s="1"/>
  <c r="BL16" i="21"/>
  <c r="BX16" i="21" s="1"/>
  <c r="BL13" i="21"/>
  <c r="BX13" i="21" s="1"/>
  <c r="BL23" i="21"/>
  <c r="BX23" i="21" s="1"/>
  <c r="BX3" i="21"/>
  <c r="BL10" i="21"/>
  <c r="BX10" i="21" s="1"/>
  <c r="BL19" i="21"/>
  <c r="BX19" i="21" s="1"/>
  <c r="BL11" i="21"/>
  <c r="BX11" i="21" s="1"/>
  <c r="BL7" i="21"/>
  <c r="BX7" i="21" s="1"/>
  <c r="BL21" i="21"/>
  <c r="BX21" i="21" s="1"/>
  <c r="BL22" i="21"/>
  <c r="BX22" i="21" s="1"/>
  <c r="BL15" i="21"/>
  <c r="BX15" i="21" s="1"/>
  <c r="BL5" i="21"/>
  <c r="BX5" i="21" s="1"/>
  <c r="BL18" i="21"/>
  <c r="BX18" i="21" s="1"/>
  <c r="BL6" i="21"/>
  <c r="BX6" i="21" s="1"/>
  <c r="BL4" i="21"/>
  <c r="BX4" i="21" s="1"/>
  <c r="AW28" i="31"/>
  <c r="AD16" i="31"/>
  <c r="AB16" i="31"/>
  <c r="W16" i="31"/>
  <c r="AC16" i="31"/>
  <c r="AE16" i="31"/>
  <c r="X16" i="31"/>
  <c r="V16" i="31"/>
  <c r="AA16" i="31"/>
  <c r="T16" i="31"/>
  <c r="Y16" i="31"/>
  <c r="U16" i="31"/>
  <c r="S16" i="31"/>
  <c r="Z16" i="31"/>
  <c r="BM24" i="21" l="1"/>
  <c r="BY24" i="21" s="1"/>
  <c r="BZ24" i="21" s="1"/>
  <c r="BM30" i="21"/>
  <c r="BY30" i="21" s="1"/>
  <c r="BZ30" i="21" s="1"/>
  <c r="BM29" i="21"/>
  <c r="BY29" i="21" s="1"/>
  <c r="BZ29" i="21" s="1"/>
  <c r="BM25" i="21"/>
  <c r="BY25" i="21" s="1"/>
  <c r="BZ25" i="21" s="1"/>
  <c r="BM28" i="21"/>
  <c r="BY28" i="21" s="1"/>
  <c r="BZ28" i="21" s="1"/>
  <c r="BM31" i="21"/>
  <c r="BY31" i="21" s="1"/>
  <c r="BZ31" i="21" s="1"/>
  <c r="BM32" i="21"/>
  <c r="BY32" i="21" s="1"/>
  <c r="BZ32" i="21" s="1"/>
  <c r="BM26" i="21"/>
  <c r="BY26" i="21" s="1"/>
  <c r="BZ26" i="21" s="1"/>
  <c r="BM27" i="21"/>
  <c r="BY27" i="21" s="1"/>
  <c r="BZ27" i="21" s="1"/>
  <c r="BM6" i="21"/>
  <c r="BY6" i="21" s="1"/>
  <c r="BZ6" i="21" s="1"/>
  <c r="BM13" i="21"/>
  <c r="BY13" i="21" s="1"/>
  <c r="BZ13" i="21" s="1"/>
  <c r="BM14" i="21"/>
  <c r="BY14" i="21" s="1"/>
  <c r="BZ14" i="21" s="1"/>
  <c r="BM23" i="21"/>
  <c r="BY23" i="21" s="1"/>
  <c r="BZ23" i="21" s="1"/>
  <c r="BM5" i="21"/>
  <c r="BY5" i="21" s="1"/>
  <c r="BZ5" i="21" s="1"/>
  <c r="BM21" i="21"/>
  <c r="BY21" i="21" s="1"/>
  <c r="BZ21" i="21" s="1"/>
  <c r="BM7" i="21"/>
  <c r="BY7" i="21" s="1"/>
  <c r="BZ7" i="21" s="1"/>
  <c r="BM11" i="21"/>
  <c r="BY11" i="21" s="1"/>
  <c r="BZ11" i="21" s="1"/>
  <c r="BM15" i="21"/>
  <c r="BY15" i="21" s="1"/>
  <c r="BZ15" i="21" s="1"/>
  <c r="BM10" i="21"/>
  <c r="BY10" i="21" s="1"/>
  <c r="BZ10" i="21" s="1"/>
  <c r="BM12" i="21"/>
  <c r="BY12" i="21" s="1"/>
  <c r="BZ12" i="21" s="1"/>
  <c r="BM9" i="21"/>
  <c r="BY9" i="21" s="1"/>
  <c r="BZ9" i="21" s="1"/>
  <c r="BM17" i="21"/>
  <c r="BY17" i="21" s="1"/>
  <c r="BZ17" i="21" s="1"/>
  <c r="BM22" i="21"/>
  <c r="BY22" i="21" s="1"/>
  <c r="BZ22" i="21" s="1"/>
  <c r="BM20" i="21"/>
  <c r="BY20" i="21" s="1"/>
  <c r="BZ20" i="21" s="1"/>
  <c r="BM8" i="21"/>
  <c r="BY8" i="21" s="1"/>
  <c r="BZ8" i="21" s="1"/>
  <c r="BM19" i="21"/>
  <c r="BY19" i="21" s="1"/>
  <c r="BZ19" i="21" s="1"/>
  <c r="BM18" i="21"/>
  <c r="BY18" i="21" s="1"/>
  <c r="BZ18" i="21" s="1"/>
  <c r="BM4" i="21"/>
  <c r="BY4" i="21" s="1"/>
  <c r="BZ4" i="21" s="1"/>
  <c r="BM16" i="21"/>
  <c r="BY16" i="21" s="1"/>
  <c r="BZ16" i="21" s="1"/>
  <c r="BY3" i="21"/>
  <c r="A11" i="2"/>
  <c r="AX13" i="31"/>
  <c r="AM37" i="21"/>
  <c r="AM49" i="21" s="1"/>
  <c r="AN4" i="21"/>
  <c r="AW29" i="31"/>
  <c r="Z17" i="31"/>
  <c r="AD17" i="31"/>
  <c r="S17" i="31"/>
  <c r="W17" i="31"/>
  <c r="AC17" i="31"/>
  <c r="AB17" i="31"/>
  <c r="AE17" i="31"/>
  <c r="T17" i="31"/>
  <c r="X17" i="31"/>
  <c r="U17" i="31"/>
  <c r="Y17" i="31"/>
  <c r="V17" i="31"/>
  <c r="AA17" i="31"/>
  <c r="A12" i="2" l="1"/>
  <c r="AX14" i="31"/>
  <c r="AW30" i="31"/>
  <c r="AD18" i="31"/>
  <c r="AB18" i="31"/>
  <c r="W18" i="31"/>
  <c r="U18" i="31"/>
  <c r="X18" i="31"/>
  <c r="AE18" i="31"/>
  <c r="AA18" i="31"/>
  <c r="AC18" i="31"/>
  <c r="S18" i="31"/>
  <c r="Y18" i="31"/>
  <c r="T18" i="31"/>
  <c r="Z18" i="31"/>
  <c r="V18" i="31"/>
  <c r="A13" i="2" l="1"/>
  <c r="AX15" i="31"/>
  <c r="AW31" i="31"/>
  <c r="Z19" i="31"/>
  <c r="AD19" i="31"/>
  <c r="AA19" i="31"/>
  <c r="AE19" i="31"/>
  <c r="W19" i="31"/>
  <c r="AC19" i="31"/>
  <c r="X19" i="31"/>
  <c r="T19" i="31"/>
  <c r="U19" i="31"/>
  <c r="Y19" i="31"/>
  <c r="V19" i="31"/>
  <c r="AB19" i="31"/>
  <c r="S19" i="31"/>
  <c r="AI8" i="31"/>
  <c r="AJ8" i="31"/>
  <c r="AK8" i="31"/>
  <c r="AL8" i="31"/>
  <c r="AM8" i="31"/>
  <c r="AN8" i="31"/>
  <c r="AO8" i="31"/>
  <c r="AP8" i="31"/>
  <c r="AQ8" i="31"/>
  <c r="AR8" i="31"/>
  <c r="AS8" i="31"/>
  <c r="AT8" i="31"/>
  <c r="AU8" i="31"/>
  <c r="A14" i="2" l="1"/>
  <c r="AX16" i="31"/>
  <c r="AW32" i="31"/>
  <c r="V20" i="31"/>
  <c r="T20" i="31"/>
  <c r="AD20" i="31"/>
  <c r="U20" i="31"/>
  <c r="AE20" i="31"/>
  <c r="W20" i="31"/>
  <c r="AA20" i="31"/>
  <c r="X20" i="31"/>
  <c r="AB20" i="31"/>
  <c r="Y20" i="31"/>
  <c r="AC20" i="31"/>
  <c r="S20" i="31"/>
  <c r="Z20" i="31"/>
  <c r="A15" i="2" l="1"/>
  <c r="AX17" i="31"/>
  <c r="AW33" i="31"/>
  <c r="AB21" i="31"/>
  <c r="AB23" i="31" s="1"/>
  <c r="AC21" i="31"/>
  <c r="AA21" i="31"/>
  <c r="T21" i="31"/>
  <c r="T23" i="31" s="1"/>
  <c r="S21" i="31"/>
  <c r="V21" i="31"/>
  <c r="V22" i="31" s="1"/>
  <c r="X21" i="31"/>
  <c r="AD21" i="31"/>
  <c r="Y21" i="31"/>
  <c r="Y22" i="31" s="1"/>
  <c r="W21" i="31"/>
  <c r="W23" i="31" s="1"/>
  <c r="Z21" i="31"/>
  <c r="Z22" i="31" s="1"/>
  <c r="AE21" i="31"/>
  <c r="U21" i="31"/>
  <c r="A16" i="2" l="1"/>
  <c r="AX18" i="31"/>
  <c r="W22" i="31"/>
  <c r="Z23" i="31"/>
  <c r="V23" i="31"/>
  <c r="U23" i="31"/>
  <c r="U22" i="31"/>
  <c r="Y23" i="31"/>
  <c r="AD22" i="31"/>
  <c r="AD23" i="31"/>
  <c r="X22" i="31"/>
  <c r="X23" i="31"/>
  <c r="AW35" i="31"/>
  <c r="AO9" i="31"/>
  <c r="AP9" i="31"/>
  <c r="AI9" i="31"/>
  <c r="AQ9" i="31"/>
  <c r="AJ9" i="31"/>
  <c r="AR9" i="31"/>
  <c r="AK9" i="31"/>
  <c r="AS9" i="31"/>
  <c r="AL9" i="31"/>
  <c r="AT9" i="31"/>
  <c r="AM9" i="31"/>
  <c r="AU9" i="31"/>
  <c r="AN9" i="31"/>
  <c r="AB22" i="31"/>
  <c r="AE23" i="31"/>
  <c r="AE22" i="31"/>
  <c r="AA23" i="31"/>
  <c r="AA22" i="31"/>
  <c r="AC22" i="31"/>
  <c r="AC23" i="31"/>
  <c r="T22" i="31"/>
  <c r="AX19" i="31" l="1"/>
  <c r="A17" i="2"/>
  <c r="AW36" i="31"/>
  <c r="AL10" i="31"/>
  <c r="AT10" i="31"/>
  <c r="AM10" i="31"/>
  <c r="AU10" i="31"/>
  <c r="AN10" i="31"/>
  <c r="AO10" i="31"/>
  <c r="AJ10" i="31"/>
  <c r="AP10" i="31"/>
  <c r="AI10" i="31"/>
  <c r="AQ10" i="31"/>
  <c r="AR10" i="31"/>
  <c r="AK10" i="31"/>
  <c r="AS10" i="31"/>
  <c r="AX20" i="31" l="1"/>
  <c r="A18" i="2"/>
  <c r="AW37" i="31"/>
  <c r="AL11" i="31"/>
  <c r="AT11" i="31"/>
  <c r="AM11" i="31"/>
  <c r="AU11" i="31"/>
  <c r="AN11" i="31"/>
  <c r="AO11" i="31"/>
  <c r="AJ11" i="31"/>
  <c r="AP11" i="31"/>
  <c r="AI11" i="31"/>
  <c r="AQ11" i="31"/>
  <c r="AR11" i="31"/>
  <c r="AK11" i="31"/>
  <c r="AS11" i="31"/>
  <c r="AX21" i="31" l="1"/>
  <c r="A19" i="2"/>
  <c r="AW38" i="31"/>
  <c r="AJ12" i="31"/>
  <c r="AR12" i="31"/>
  <c r="AK12" i="31"/>
  <c r="AS12" i="31"/>
  <c r="AL12" i="31"/>
  <c r="AT12" i="31"/>
  <c r="AU12" i="31"/>
  <c r="AN12" i="31"/>
  <c r="AO12" i="31"/>
  <c r="AP12" i="31"/>
  <c r="AI12" i="31"/>
  <c r="AQ12" i="31"/>
  <c r="AM12" i="31"/>
  <c r="A20" i="2" l="1"/>
  <c r="AX22" i="31"/>
  <c r="AW39" i="31"/>
  <c r="AM13" i="31"/>
  <c r="AU13" i="31"/>
  <c r="AN13" i="31"/>
  <c r="AO13" i="31"/>
  <c r="AI13" i="31"/>
  <c r="AP13" i="31"/>
  <c r="AT13" i="31"/>
  <c r="AQ13" i="31"/>
  <c r="AJ13" i="31"/>
  <c r="AR13" i="31"/>
  <c r="AK13" i="31"/>
  <c r="AS13" i="31"/>
  <c r="AL13" i="31"/>
  <c r="A21" i="2" l="1"/>
  <c r="AX23" i="31"/>
  <c r="AW40" i="31"/>
  <c r="AI14" i="31"/>
  <c r="AP14" i="31"/>
  <c r="AQ14" i="31"/>
  <c r="AJ14" i="31"/>
  <c r="AR14" i="31"/>
  <c r="AK14" i="31"/>
  <c r="AS14" i="31"/>
  <c r="AL14" i="31"/>
  <c r="AT14" i="31"/>
  <c r="AM14" i="31"/>
  <c r="AU14" i="31"/>
  <c r="AN14" i="31"/>
  <c r="AO14" i="31"/>
  <c r="A22" i="2" l="1"/>
  <c r="A23" i="2" s="1"/>
  <c r="A24" i="2" s="1"/>
  <c r="AX24" i="31"/>
  <c r="AW41" i="31"/>
  <c r="AM15" i="31"/>
  <c r="AU15" i="31"/>
  <c r="AN15" i="31"/>
  <c r="AO15" i="31"/>
  <c r="AL15" i="31"/>
  <c r="AT15" i="31"/>
  <c r="AP15" i="31"/>
  <c r="AJ15" i="31"/>
  <c r="AR15" i="31"/>
  <c r="AI15" i="31"/>
  <c r="AQ15" i="31"/>
  <c r="AK15" i="31"/>
  <c r="AS15" i="31"/>
  <c r="AX25" i="31" l="1"/>
  <c r="AW42" i="31"/>
  <c r="AN16" i="31"/>
  <c r="AO16" i="31"/>
  <c r="AI16" i="31"/>
  <c r="AP16" i="31"/>
  <c r="AL16" i="31"/>
  <c r="AT16" i="31"/>
  <c r="AQ16" i="31"/>
  <c r="AJ16" i="31"/>
  <c r="AR16" i="31"/>
  <c r="AK16" i="31"/>
  <c r="AS16" i="31"/>
  <c r="AM16" i="31"/>
  <c r="AU16" i="31"/>
  <c r="A25" i="2" l="1"/>
  <c r="AX26" i="31"/>
  <c r="AW43" i="31"/>
  <c r="AI17" i="31"/>
  <c r="AQ17" i="31"/>
  <c r="AR17" i="31"/>
  <c r="AS17" i="31"/>
  <c r="AL17" i="31"/>
  <c r="AU17" i="31"/>
  <c r="AO17" i="31"/>
  <c r="AJ17" i="31"/>
  <c r="AP17" i="31"/>
  <c r="AK17" i="31"/>
  <c r="AT17" i="31"/>
  <c r="AM17" i="31"/>
  <c r="AN17" i="31"/>
  <c r="A26" i="2" l="1"/>
  <c r="AX27" i="31"/>
  <c r="AW44" i="31"/>
  <c r="AM18" i="31"/>
  <c r="AU18" i="31"/>
  <c r="AJ18" i="31"/>
  <c r="AP18" i="31"/>
  <c r="AI18" i="31"/>
  <c r="AQ18" i="31"/>
  <c r="AK18" i="31"/>
  <c r="AS18" i="31"/>
  <c r="AT18" i="31"/>
  <c r="AN18" i="31"/>
  <c r="AO18" i="31"/>
  <c r="AR18" i="31"/>
  <c r="AL18" i="31"/>
  <c r="A27" i="2" l="1"/>
  <c r="AX28" i="31"/>
  <c r="AW45" i="31"/>
  <c r="AR19" i="31"/>
  <c r="AL19" i="31"/>
  <c r="AT19" i="31"/>
  <c r="AQ19" i="31"/>
  <c r="AK19" i="31"/>
  <c r="AM19" i="31"/>
  <c r="AU19" i="31"/>
  <c r="AJ19" i="31"/>
  <c r="AN19" i="31"/>
  <c r="AO19" i="31"/>
  <c r="AP19" i="31"/>
  <c r="AI19" i="31"/>
  <c r="AS19" i="31"/>
  <c r="A28" i="2" l="1"/>
  <c r="AX29" i="31"/>
  <c r="AW46" i="31"/>
  <c r="AJ20" i="31"/>
  <c r="AQ20" i="31"/>
  <c r="AK20" i="31"/>
  <c r="AS20" i="31"/>
  <c r="AI20" i="31"/>
  <c r="AR20" i="31"/>
  <c r="AL20" i="31"/>
  <c r="AT20" i="31"/>
  <c r="AM20" i="31"/>
  <c r="AU20" i="31"/>
  <c r="AN20" i="31"/>
  <c r="AO20" i="31"/>
  <c r="AP20" i="31"/>
  <c r="A29" i="2" l="1"/>
  <c r="AX30" i="31"/>
  <c r="AZ30" i="31" s="1"/>
  <c r="AW47" i="31"/>
  <c r="AJ21" i="31"/>
  <c r="AR21" i="31"/>
  <c r="AN21" i="31"/>
  <c r="AK21" i="31"/>
  <c r="AS21" i="31"/>
  <c r="AL21" i="31"/>
  <c r="AT21" i="31"/>
  <c r="AM21" i="31"/>
  <c r="AU21" i="31"/>
  <c r="AO21" i="31"/>
  <c r="AP21" i="31"/>
  <c r="AI21" i="31"/>
  <c r="AQ21" i="31"/>
  <c r="A30" i="2" l="1"/>
  <c r="AX31" i="31"/>
  <c r="AZ31" i="31" s="1"/>
  <c r="BB31" i="31" s="1"/>
  <c r="AZ29" i="31"/>
  <c r="BB29" i="31" s="1"/>
  <c r="AZ12" i="31"/>
  <c r="BB12" i="31" s="1"/>
  <c r="AZ16" i="31"/>
  <c r="BB16" i="31" s="1"/>
  <c r="AZ8" i="31"/>
  <c r="BB8" i="31" s="1"/>
  <c r="AZ17" i="31"/>
  <c r="BB17" i="31" s="1"/>
  <c r="AZ27" i="31"/>
  <c r="BB27" i="31" s="1"/>
  <c r="AZ24" i="31"/>
  <c r="BB24" i="31" s="1"/>
  <c r="AZ19" i="31"/>
  <c r="BB19" i="31" s="1"/>
  <c r="AZ15" i="31"/>
  <c r="BB15" i="31" s="1"/>
  <c r="AZ21" i="31"/>
  <c r="BB21" i="31" s="1"/>
  <c r="AZ6" i="31"/>
  <c r="BB6" i="31" s="1"/>
  <c r="AZ22" i="31"/>
  <c r="BB22" i="31" s="1"/>
  <c r="BB30" i="31"/>
  <c r="AZ20" i="31"/>
  <c r="BB20" i="31" s="1"/>
  <c r="AZ11" i="31"/>
  <c r="BB11" i="31" s="1"/>
  <c r="AZ13" i="31"/>
  <c r="BB13" i="31" s="1"/>
  <c r="AZ9" i="31"/>
  <c r="BB9" i="31" s="1"/>
  <c r="AZ28" i="31"/>
  <c r="BB28" i="31" s="1"/>
  <c r="AZ25" i="31"/>
  <c r="BB25" i="31" s="1"/>
  <c r="AZ14" i="31"/>
  <c r="BB14" i="31" s="1"/>
  <c r="AZ26" i="31"/>
  <c r="BB26" i="31" s="1"/>
  <c r="AZ23" i="31"/>
  <c r="BB23" i="31" s="1"/>
  <c r="AZ18" i="31"/>
  <c r="BB18" i="31" s="1"/>
  <c r="AZ10" i="31"/>
  <c r="BB10" i="31" s="1"/>
  <c r="AZ7" i="31"/>
  <c r="BB7" i="31" s="1"/>
  <c r="AO22" i="31"/>
  <c r="AO23" i="31"/>
  <c r="AR22" i="31"/>
  <c r="AR23" i="31"/>
  <c r="AU22" i="31"/>
  <c r="AU23" i="31"/>
  <c r="AJ22" i="31"/>
  <c r="AJ23" i="31"/>
  <c r="AM22" i="31"/>
  <c r="AM23" i="31"/>
  <c r="AT22" i="31"/>
  <c r="AT23" i="31"/>
  <c r="AL22" i="31"/>
  <c r="AL23" i="31"/>
  <c r="AQ22" i="31"/>
  <c r="AQ23" i="31"/>
  <c r="AS22" i="31"/>
  <c r="AS23" i="31"/>
  <c r="AK22" i="31"/>
  <c r="AK23" i="31"/>
  <c r="AP22" i="31"/>
  <c r="AP23" i="31"/>
  <c r="AN22" i="31"/>
  <c r="AN23" i="31"/>
  <c r="D16" i="31"/>
  <c r="D37" i="31"/>
  <c r="D32" i="31"/>
  <c r="D36" i="31"/>
  <c r="D39" i="31"/>
  <c r="D14" i="31"/>
  <c r="D38" i="31"/>
  <c r="D29" i="31"/>
  <c r="D33" i="31"/>
  <c r="D10" i="31"/>
  <c r="D9" i="31"/>
  <c r="D15" i="31"/>
  <c r="D17" i="31"/>
  <c r="D30" i="31"/>
  <c r="D19" i="31"/>
  <c r="D11" i="31"/>
  <c r="D21" i="31"/>
  <c r="D31" i="31"/>
  <c r="D35" i="31"/>
  <c r="D13" i="31"/>
  <c r="L9" i="31"/>
  <c r="L10" i="31"/>
  <c r="L15" i="31"/>
  <c r="L17" i="31"/>
  <c r="L30" i="31"/>
  <c r="L19" i="31"/>
  <c r="L11" i="31"/>
  <c r="L21" i="31"/>
  <c r="L31" i="31"/>
  <c r="L35" i="31"/>
  <c r="L32" i="31"/>
  <c r="L16" i="31"/>
  <c r="L37" i="31"/>
  <c r="L13" i="31"/>
  <c r="L36" i="31"/>
  <c r="L39" i="31"/>
  <c r="L33" i="31"/>
  <c r="L38" i="31"/>
  <c r="L29" i="31"/>
  <c r="L14" i="31"/>
  <c r="H16" i="31"/>
  <c r="H31" i="31"/>
  <c r="H36" i="31"/>
  <c r="H13" i="31"/>
  <c r="H17" i="31"/>
  <c r="H38" i="31"/>
  <c r="H32" i="31"/>
  <c r="H19" i="31"/>
  <c r="H9" i="31"/>
  <c r="H33" i="31"/>
  <c r="H21" i="31"/>
  <c r="H10" i="31"/>
  <c r="H14" i="31"/>
  <c r="H35" i="31"/>
  <c r="H29" i="31"/>
  <c r="H15" i="31"/>
  <c r="H37" i="31"/>
  <c r="H11" i="31"/>
  <c r="H39" i="31"/>
  <c r="H30" i="31"/>
  <c r="C9" i="31"/>
  <c r="C13" i="31"/>
  <c r="C37" i="31"/>
  <c r="C8" i="31"/>
  <c r="C33" i="31"/>
  <c r="C38" i="31"/>
  <c r="C30" i="31"/>
  <c r="C14" i="31"/>
  <c r="C19" i="31"/>
  <c r="C29" i="31"/>
  <c r="C15" i="31"/>
  <c r="C39" i="31"/>
  <c r="C10" i="31"/>
  <c r="C16" i="31"/>
  <c r="C11" i="31"/>
  <c r="C35" i="31"/>
  <c r="C21" i="31"/>
  <c r="C31" i="31"/>
  <c r="C17" i="31"/>
  <c r="C27" i="31"/>
  <c r="C32" i="31"/>
  <c r="C12" i="31"/>
  <c r="C36" i="31"/>
  <c r="J19" i="31"/>
  <c r="J29" i="31"/>
  <c r="J14" i="31"/>
  <c r="J21" i="31"/>
  <c r="J10" i="31"/>
  <c r="J15" i="31"/>
  <c r="J35" i="31"/>
  <c r="J30" i="31"/>
  <c r="J39" i="31"/>
  <c r="J11" i="31"/>
  <c r="J38" i="31"/>
  <c r="J31" i="31"/>
  <c r="J16" i="31"/>
  <c r="J13" i="31"/>
  <c r="J37" i="31"/>
  <c r="J36" i="31"/>
  <c r="J32" i="31"/>
  <c r="J17" i="31"/>
  <c r="J9" i="31"/>
  <c r="J33" i="31"/>
  <c r="I37" i="31"/>
  <c r="I11" i="31"/>
  <c r="I16" i="31"/>
  <c r="I31" i="31"/>
  <c r="I36" i="31"/>
  <c r="I32" i="31"/>
  <c r="I17" i="31"/>
  <c r="I38" i="31"/>
  <c r="I13" i="31"/>
  <c r="I21" i="31"/>
  <c r="I9" i="31"/>
  <c r="I33" i="31"/>
  <c r="I35" i="31"/>
  <c r="I10" i="31"/>
  <c r="I14" i="31"/>
  <c r="I39" i="31"/>
  <c r="I29" i="31"/>
  <c r="I15" i="31"/>
  <c r="I19" i="31"/>
  <c r="I30" i="31"/>
  <c r="M36" i="31"/>
  <c r="M37" i="31"/>
  <c r="M13" i="31"/>
  <c r="M16" i="31"/>
  <c r="M39" i="31"/>
  <c r="M14" i="31"/>
  <c r="M38" i="31"/>
  <c r="M11" i="31"/>
  <c r="M33" i="31"/>
  <c r="M29" i="31"/>
  <c r="M9" i="31"/>
  <c r="M15" i="31"/>
  <c r="M17" i="31"/>
  <c r="M10" i="31"/>
  <c r="M19" i="31"/>
  <c r="M30" i="31"/>
  <c r="M21" i="31"/>
  <c r="M31" i="31"/>
  <c r="M35" i="31"/>
  <c r="M32" i="31"/>
  <c r="E17" i="31"/>
  <c r="E9" i="31"/>
  <c r="E15" i="31"/>
  <c r="E19" i="31"/>
  <c r="E11" i="31"/>
  <c r="E21" i="31"/>
  <c r="E30" i="31"/>
  <c r="E35" i="31"/>
  <c r="E31" i="31"/>
  <c r="E37" i="31"/>
  <c r="E32" i="31"/>
  <c r="E38" i="31"/>
  <c r="E39" i="31"/>
  <c r="E13" i="31"/>
  <c r="E16" i="31"/>
  <c r="E29" i="31"/>
  <c r="E33" i="31"/>
  <c r="E36" i="31"/>
  <c r="E10" i="31"/>
  <c r="E14" i="31"/>
  <c r="N35" i="31"/>
  <c r="N31" i="31"/>
  <c r="N39" i="31"/>
  <c r="N13" i="31"/>
  <c r="N36" i="31"/>
  <c r="N17" i="31"/>
  <c r="N32" i="31"/>
  <c r="N38" i="31"/>
  <c r="N9" i="31"/>
  <c r="N33" i="31"/>
  <c r="N16" i="31"/>
  <c r="N10" i="31"/>
  <c r="N14" i="31"/>
  <c r="N21" i="31"/>
  <c r="N29" i="31"/>
  <c r="N15" i="31"/>
  <c r="N37" i="31"/>
  <c r="N11" i="31"/>
  <c r="N19" i="31"/>
  <c r="N30" i="31"/>
  <c r="F36" i="31"/>
  <c r="F29" i="31"/>
  <c r="F33" i="31"/>
  <c r="F38" i="31"/>
  <c r="F9" i="31"/>
  <c r="F14" i="31"/>
  <c r="F35" i="31"/>
  <c r="F10" i="31"/>
  <c r="F15" i="31"/>
  <c r="F37" i="31"/>
  <c r="F11" i="31"/>
  <c r="F17" i="31"/>
  <c r="F30" i="31"/>
  <c r="F19" i="31"/>
  <c r="F31" i="31"/>
  <c r="F21" i="31"/>
  <c r="F32" i="31"/>
  <c r="F16" i="31"/>
  <c r="F39" i="31"/>
  <c r="F13" i="31"/>
  <c r="G35" i="31"/>
  <c r="G29" i="31"/>
  <c r="G17" i="31"/>
  <c r="G11" i="31"/>
  <c r="G19" i="31"/>
  <c r="G31" i="31"/>
  <c r="G21" i="31"/>
  <c r="G13" i="31"/>
  <c r="G16" i="31"/>
  <c r="G39" i="31"/>
  <c r="G32" i="31"/>
  <c r="G36" i="31"/>
  <c r="G30" i="31"/>
  <c r="G14" i="31"/>
  <c r="G38" i="31"/>
  <c r="G9" i="31"/>
  <c r="G33" i="31"/>
  <c r="G37" i="31"/>
  <c r="G10" i="31"/>
  <c r="G15" i="31"/>
  <c r="O19" i="31"/>
  <c r="O32" i="31"/>
  <c r="O16" i="31"/>
  <c r="O21" i="31"/>
  <c r="O13" i="31"/>
  <c r="O36" i="31"/>
  <c r="O30" i="31"/>
  <c r="O33" i="31"/>
  <c r="O38" i="31"/>
  <c r="O29" i="31"/>
  <c r="O14" i="31"/>
  <c r="O37" i="31"/>
  <c r="O10" i="31"/>
  <c r="O15" i="31"/>
  <c r="O39" i="31"/>
  <c r="O9" i="31"/>
  <c r="O35" i="31"/>
  <c r="O11" i="31"/>
  <c r="O17" i="31"/>
  <c r="O31" i="31"/>
  <c r="K21" i="31"/>
  <c r="K30" i="31"/>
  <c r="K33" i="31"/>
  <c r="K35" i="31"/>
  <c r="K29" i="31"/>
  <c r="K15" i="31"/>
  <c r="K37" i="31"/>
  <c r="K9" i="31"/>
  <c r="K11" i="31"/>
  <c r="K39" i="31"/>
  <c r="K38" i="31"/>
  <c r="K31" i="31"/>
  <c r="K16" i="31"/>
  <c r="K32" i="31"/>
  <c r="K17" i="31"/>
  <c r="K36" i="31"/>
  <c r="K13" i="31"/>
  <c r="K19" i="31"/>
  <c r="K10" i="31"/>
  <c r="K14" i="31"/>
  <c r="G8" i="31"/>
  <c r="I27" i="31"/>
  <c r="F8" i="31"/>
  <c r="E8" i="31"/>
  <c r="K27" i="31"/>
  <c r="D8" i="31"/>
  <c r="J27" i="31"/>
  <c r="N8" i="31"/>
  <c r="J12" i="31"/>
  <c r="J8" i="31"/>
  <c r="H27" i="31"/>
  <c r="F12" i="31"/>
  <c r="F27" i="31"/>
  <c r="N12" i="31"/>
  <c r="N27" i="31"/>
  <c r="D12" i="31"/>
  <c r="D27" i="31"/>
  <c r="H12" i="31"/>
  <c r="H8" i="31"/>
  <c r="I12" i="31"/>
  <c r="I8" i="31"/>
  <c r="O27" i="31"/>
  <c r="E12" i="31"/>
  <c r="E27" i="31"/>
  <c r="G12" i="31"/>
  <c r="G27" i="31"/>
  <c r="L8" i="31"/>
  <c r="M27" i="31"/>
  <c r="K12" i="31"/>
  <c r="K8" i="31"/>
  <c r="L12" i="31"/>
  <c r="L27" i="31"/>
  <c r="M12" i="31"/>
  <c r="M8" i="31"/>
  <c r="O12" i="31"/>
  <c r="O8" i="31"/>
  <c r="I23" i="31" l="1"/>
  <c r="A31" i="2"/>
  <c r="AX33" i="31" s="1"/>
  <c r="AZ33" i="31" s="1"/>
  <c r="BB33" i="31" s="1"/>
  <c r="AX32" i="31"/>
  <c r="AZ32" i="31" s="1"/>
  <c r="BB32" i="31" s="1"/>
  <c r="M22" i="31"/>
  <c r="I41" i="31"/>
  <c r="J22" i="31"/>
  <c r="O22" i="31"/>
  <c r="L22" i="31"/>
  <c r="H22" i="31"/>
  <c r="G23" i="31"/>
  <c r="E22" i="31"/>
  <c r="D42" i="31"/>
  <c r="F41" i="31"/>
  <c r="J42" i="31"/>
  <c r="H42" i="31"/>
  <c r="M42" i="31"/>
  <c r="N42" i="31"/>
  <c r="M41" i="31"/>
  <c r="I42" i="31"/>
  <c r="F42" i="31"/>
  <c r="J41" i="31"/>
  <c r="L41" i="31"/>
  <c r="K42" i="31"/>
  <c r="G41" i="31"/>
  <c r="E42" i="31"/>
  <c r="D41" i="31"/>
  <c r="H41" i="31"/>
  <c r="O42" i="31"/>
  <c r="N41" i="31"/>
  <c r="F23" i="31"/>
  <c r="M23" i="31"/>
  <c r="H23" i="31"/>
  <c r="N22" i="31"/>
  <c r="L23" i="31"/>
  <c r="D22" i="31"/>
  <c r="O23" i="31"/>
  <c r="K22" i="31"/>
  <c r="E23" i="31"/>
  <c r="F22" i="31"/>
  <c r="L42" i="31"/>
  <c r="E41" i="31"/>
  <c r="K23" i="31"/>
  <c r="G42" i="31"/>
  <c r="O41" i="31"/>
  <c r="J23" i="31"/>
  <c r="D23" i="31"/>
  <c r="I22" i="31"/>
  <c r="K41" i="31"/>
  <c r="G22" i="31"/>
  <c r="N23" i="31"/>
</calcChain>
</file>

<file path=xl/sharedStrings.xml><?xml version="1.0" encoding="utf-8"?>
<sst xmlns="http://schemas.openxmlformats.org/spreadsheetml/2006/main" count="179" uniqueCount="63">
  <si>
    <t>م</t>
  </si>
  <si>
    <t>علي حسين</t>
  </si>
  <si>
    <t>خالد جابر</t>
  </si>
  <si>
    <t>علي اليحيوي</t>
  </si>
  <si>
    <t>جبر الغزواني</t>
  </si>
  <si>
    <t>حسين العثواني</t>
  </si>
  <si>
    <t>علي النشمي</t>
  </si>
  <si>
    <t>عبده</t>
  </si>
  <si>
    <t>الفيدلي</t>
  </si>
  <si>
    <t>يحيى العزي</t>
  </si>
  <si>
    <t>فرحان علي</t>
  </si>
  <si>
    <t>جبران علي</t>
  </si>
  <si>
    <t>يحيى احمد</t>
  </si>
  <si>
    <t>ماهر</t>
  </si>
  <si>
    <t>ابوعاصم</t>
  </si>
  <si>
    <t>محمد الحجفي</t>
  </si>
  <si>
    <t>عادل الفيفي</t>
  </si>
  <si>
    <t>سالم يحيى</t>
  </si>
  <si>
    <t>محمود</t>
  </si>
  <si>
    <t>حسين سالم</t>
  </si>
  <si>
    <t>ابراهيم</t>
  </si>
  <si>
    <t>احياء</t>
  </si>
  <si>
    <t>حسين العمري</t>
  </si>
  <si>
    <t>حسن جبار</t>
  </si>
  <si>
    <t>حسن سليمان</t>
  </si>
  <si>
    <t>مهدي</t>
  </si>
  <si>
    <t>الاسم</t>
  </si>
  <si>
    <t>المجموع</t>
  </si>
  <si>
    <t>النصاب الكامل</t>
  </si>
  <si>
    <t>السوابع</t>
  </si>
  <si>
    <t>الفعلي</t>
  </si>
  <si>
    <t>الخميس</t>
  </si>
  <si>
    <t>ث</t>
  </si>
  <si>
    <t>أ</t>
  </si>
  <si>
    <t>ب</t>
  </si>
  <si>
    <t>الاحد</t>
  </si>
  <si>
    <t>الاربعاء</t>
  </si>
  <si>
    <t>الثلاثاء</t>
  </si>
  <si>
    <t>الاثنين</t>
  </si>
  <si>
    <t>احمد يحيى</t>
  </si>
  <si>
    <t>موسى</t>
  </si>
  <si>
    <t>سلمان محيي</t>
  </si>
  <si>
    <t>أبو عاصم</t>
  </si>
  <si>
    <t>سالم حردان</t>
  </si>
  <si>
    <t>خالد الخالدي</t>
  </si>
  <si>
    <t>ناصر</t>
  </si>
  <si>
    <t>أبو محمد</t>
  </si>
  <si>
    <t>معلم1</t>
  </si>
  <si>
    <t>معلم2</t>
  </si>
  <si>
    <t>معلم3</t>
  </si>
  <si>
    <t>معلم4</t>
  </si>
  <si>
    <t>معلم5</t>
  </si>
  <si>
    <t>معلم6</t>
  </si>
  <si>
    <t>معلم7</t>
  </si>
  <si>
    <t>معلم8</t>
  </si>
  <si>
    <t>معلم9</t>
  </si>
  <si>
    <t>معلم10</t>
  </si>
  <si>
    <t>معلم11</t>
  </si>
  <si>
    <t>معلم12</t>
  </si>
  <si>
    <t>معلم13</t>
  </si>
  <si>
    <t>معلم14</t>
  </si>
  <si>
    <t>حسين الفيفيي</t>
  </si>
  <si>
    <t>محمد علي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</si>
</sst>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Traditional Arabic"/>
      <family val="1"/>
    </font>
    <font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0"/>
      <name val="Calibri"/>
      <family val="2"/>
      <charset val="178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charset val="178"/>
      <scheme val="minor"/>
    </font>
    <font>
      <sz val="8"/>
      <color theme="1"/>
      <name val="Calibri"/>
      <family val="2"/>
      <scheme val="minor"/>
    </font>
    <font>
      <b/>
      <sz val="8"/>
      <color theme="1"/>
      <name val="Traditional Arabic"/>
      <family val="1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1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 style="double">
        <color auto="1"/>
      </right>
      <top style="double">
        <color auto="1"/>
      </top>
      <bottom style="medium">
        <color auto="1"/>
      </bottom>
      <diagonal/>
    </border>
    <border>
      <left style="double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medium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6" xfId="0" applyBorder="1"/>
    <xf numFmtId="0" fontId="0" fillId="0" borderId="8" xfId="0" applyBorder="1"/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wrapText="1"/>
    </xf>
    <xf numFmtId="0" fontId="0" fillId="0" borderId="20" xfId="0" applyBorder="1"/>
    <xf numFmtId="0" fontId="0" fillId="0" borderId="21" xfId="0" applyBorder="1"/>
    <xf numFmtId="0" fontId="0" fillId="0" borderId="7" xfId="0" applyBorder="1"/>
    <xf numFmtId="0" fontId="0" fillId="0" borderId="14" xfId="0" applyBorder="1"/>
    <xf numFmtId="0" fontId="0" fillId="4" borderId="20" xfId="0" applyFill="1" applyBorder="1"/>
    <xf numFmtId="0" fontId="0" fillId="0" borderId="15" xfId="0" applyBorder="1"/>
    <xf numFmtId="0" fontId="0" fillId="4" borderId="0" xfId="0" applyFill="1"/>
    <xf numFmtId="0" fontId="0" fillId="4" borderId="13" xfId="0" applyFill="1" applyBorder="1"/>
    <xf numFmtId="0" fontId="0" fillId="4" borderId="14" xfId="0" applyFill="1" applyBorder="1"/>
    <xf numFmtId="0" fontId="0" fillId="0" borderId="26" xfId="0" applyBorder="1"/>
    <xf numFmtId="0" fontId="0" fillId="0" borderId="28" xfId="0" applyBorder="1"/>
    <xf numFmtId="0" fontId="0" fillId="0" borderId="27" xfId="0" applyBorder="1"/>
    <xf numFmtId="0" fontId="0" fillId="0" borderId="30" xfId="0" applyBorder="1"/>
    <xf numFmtId="0" fontId="0" fillId="0" borderId="31" xfId="0" applyBorder="1"/>
    <xf numFmtId="0" fontId="0" fillId="0" borderId="29" xfId="0" applyBorder="1"/>
    <xf numFmtId="0" fontId="0" fillId="0" borderId="16" xfId="0" applyBorder="1"/>
    <xf numFmtId="0" fontId="0" fillId="6" borderId="8" xfId="0" applyFill="1" applyBorder="1"/>
    <xf numFmtId="0" fontId="4" fillId="6" borderId="8" xfId="0" applyFont="1" applyFill="1" applyBorder="1"/>
    <xf numFmtId="0" fontId="4" fillId="6" borderId="6" xfId="0" applyFont="1" applyFill="1" applyBorder="1"/>
    <xf numFmtId="0" fontId="4" fillId="6" borderId="21" xfId="0" applyFont="1" applyFill="1" applyBorder="1"/>
    <xf numFmtId="0" fontId="0" fillId="0" borderId="0" xfId="0" applyAlignment="1">
      <alignment horizontal="center" wrapText="1"/>
    </xf>
    <xf numFmtId="0" fontId="0" fillId="5" borderId="32" xfId="0" applyFill="1" applyBorder="1"/>
    <xf numFmtId="0" fontId="0" fillId="5" borderId="33" xfId="0" applyFill="1" applyBorder="1"/>
    <xf numFmtId="0" fontId="4" fillId="5" borderId="33" xfId="0" applyFont="1" applyFill="1" applyBorder="1"/>
    <xf numFmtId="0" fontId="0" fillId="5" borderId="0" xfId="0" applyFill="1" applyAlignment="1">
      <alignment horizontal="center"/>
    </xf>
    <xf numFmtId="0" fontId="0" fillId="0" borderId="33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12" xfId="0" applyBorder="1"/>
    <xf numFmtId="0" fontId="5" fillId="0" borderId="0" xfId="0" applyFont="1"/>
    <xf numFmtId="0" fontId="8" fillId="0" borderId="25" xfId="0" applyFont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6" fillId="0" borderId="13" xfId="0" applyFont="1" applyBorder="1"/>
    <xf numFmtId="0" fontId="7" fillId="0" borderId="20" xfId="0" applyFont="1" applyBorder="1"/>
    <xf numFmtId="0" fontId="7" fillId="0" borderId="8" xfId="0" applyFont="1" applyBorder="1"/>
    <xf numFmtId="0" fontId="7" fillId="0" borderId="21" xfId="0" applyFont="1" applyBorder="1"/>
    <xf numFmtId="0" fontId="7" fillId="0" borderId="13" xfId="0" applyFont="1" applyBorder="1"/>
    <xf numFmtId="0" fontId="7" fillId="0" borderId="14" xfId="0" applyFont="1" applyBorder="1"/>
    <xf numFmtId="0" fontId="7" fillId="0" borderId="15" xfId="0" applyFont="1" applyBorder="1"/>
    <xf numFmtId="0" fontId="3" fillId="3" borderId="20" xfId="0" applyFont="1" applyFill="1" applyBorder="1"/>
    <xf numFmtId="0" fontId="3" fillId="3" borderId="6" xfId="0" applyFont="1" applyFill="1" applyBorder="1"/>
    <xf numFmtId="0" fontId="3" fillId="3" borderId="8" xfId="0" applyFont="1" applyFill="1" applyBorder="1"/>
    <xf numFmtId="0" fontId="3" fillId="0" borderId="20" xfId="0" applyFont="1" applyBorder="1"/>
    <xf numFmtId="0" fontId="3" fillId="0" borderId="6" xfId="0" applyFont="1" applyBorder="1"/>
    <xf numFmtId="0" fontId="3" fillId="0" borderId="8" xfId="0" applyFont="1" applyBorder="1"/>
    <xf numFmtId="0" fontId="3" fillId="0" borderId="21" xfId="0" applyFont="1" applyBorder="1"/>
    <xf numFmtId="0" fontId="0" fillId="0" borderId="34" xfId="0" applyBorder="1"/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7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35" xfId="0" applyBorder="1" applyAlignment="1">
      <alignment horizontal="center" wrapText="1"/>
    </xf>
    <xf numFmtId="0" fontId="0" fillId="0" borderId="36" xfId="0" applyBorder="1" applyAlignment="1">
      <alignment horizontal="center" wrapText="1"/>
    </xf>
  </cellXfs>
  <cellStyles count="1">
    <cellStyle name="Normal" xfId="0" builtinId="0"/>
  </cellStyles>
  <dxfs count="62"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0000"/>
      </font>
      <fill>
        <patternFill>
          <bgColor rgb="FF00FF00"/>
        </patternFill>
      </fill>
    </dxf>
    <dxf>
      <font>
        <color rgb="FFFF0000"/>
      </font>
      <fill>
        <patternFill>
          <bgColor rgb="FF00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</dxfs>
  <tableStyles count="0" defaultTableStyle="TableStyleMedium2" defaultPivotStyle="PivotStyleLight16"/>
  <colors>
    <mruColors>
      <color rgb="FFFF66FF"/>
      <color rgb="FF66FF33"/>
      <color rgb="FF00FF00"/>
      <color rgb="FFFFFF99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أرقام!$A$4:$B$4</c:f>
              <c:strCache>
                <c:ptCount val="2"/>
                <c:pt idx="0">
                  <c:v>علي حسين</c:v>
                </c:pt>
                <c:pt idx="1">
                  <c:v>12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أرقام!$C$2:$BZ$3</c:f>
              <c:multiLvlStrCache>
                <c:ptCount val="5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1">
                    <c:v>5</c:v>
                  </c:pt>
                  <c:pt idx="12">
                    <c:v>6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4</c:v>
                  </c:pt>
                  <c:pt idx="25">
                    <c:v>5</c:v>
                  </c:pt>
                  <c:pt idx="26">
                    <c:v>6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9">
                    <c:v>11</c:v>
                  </c:pt>
                  <c:pt idx="40">
                    <c:v>21</c:v>
                  </c:pt>
                  <c:pt idx="41">
                    <c:v>12</c:v>
                  </c:pt>
                  <c:pt idx="42">
                    <c:v>22</c:v>
                  </c:pt>
                  <c:pt idx="43">
                    <c:v>13</c:v>
                  </c:pt>
                  <c:pt idx="44">
                    <c:v>23</c:v>
                  </c:pt>
                  <c:pt idx="45">
                    <c:v>14</c:v>
                  </c:pt>
                  <c:pt idx="46">
                    <c:v>24</c:v>
                  </c:pt>
                  <c:pt idx="47">
                    <c:v>15</c:v>
                  </c:pt>
                  <c:pt idx="48">
                    <c:v>25</c:v>
                  </c:pt>
                  <c:pt idx="49">
                    <c:v>16</c:v>
                  </c:pt>
                  <c:pt idx="50">
                    <c:v>26</c:v>
                  </c:pt>
                </c:lvl>
                <c:lvl>
                  <c:pt idx="0">
                    <c:v>1</c:v>
                  </c:pt>
                  <c:pt idx="7">
                    <c:v>2</c:v>
                  </c:pt>
                  <c:pt idx="14">
                    <c:v>3</c:v>
                  </c:pt>
                  <c:pt idx="21">
                    <c:v>4</c:v>
                  </c:pt>
                  <c:pt idx="28">
                    <c:v>5</c:v>
                  </c:pt>
                </c:lvl>
              </c:multiLvlStrCache>
            </c:multiLvlStrRef>
          </c:cat>
          <c:val>
            <c:numRef>
              <c:f>أرقام!$C$4:$BZ$4</c:f>
              <c:numCache>
                <c:formatCode>General</c:formatCode>
                <c:ptCount val="52"/>
                <c:pt idx="4">
                  <c:v>13</c:v>
                </c:pt>
                <c:pt idx="5">
                  <c:v>23</c:v>
                </c:pt>
                <c:pt idx="6">
                  <c:v>23</c:v>
                </c:pt>
                <c:pt idx="10">
                  <c:v>23</c:v>
                </c:pt>
                <c:pt idx="13">
                  <c:v>13</c:v>
                </c:pt>
                <c:pt idx="17">
                  <c:v>13</c:v>
                </c:pt>
                <c:pt idx="19">
                  <c:v>23</c:v>
                </c:pt>
                <c:pt idx="21">
                  <c:v>13</c:v>
                </c:pt>
                <c:pt idx="22">
                  <c:v>13</c:v>
                </c:pt>
                <c:pt idx="25">
                  <c:v>23</c:v>
                </c:pt>
                <c:pt idx="26">
                  <c:v>23</c:v>
                </c:pt>
                <c:pt idx="28">
                  <c:v>13</c:v>
                </c:pt>
                <c:pt idx="35">
                  <c:v>216</c:v>
                </c:pt>
                <c:pt idx="36">
                  <c:v>216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BF-41FB-99A0-3453495F84F5}"/>
            </c:ext>
          </c:extLst>
        </c:ser>
        <c:ser>
          <c:idx val="1"/>
          <c:order val="1"/>
          <c:tx>
            <c:strRef>
              <c:f>أرقام!$A$5:$B$5</c:f>
              <c:strCache>
                <c:ptCount val="2"/>
                <c:pt idx="0">
                  <c:v>خالد جابر</c:v>
                </c:pt>
                <c:pt idx="1">
                  <c:v>11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أرقام!$C$2:$BZ$3</c:f>
              <c:multiLvlStrCache>
                <c:ptCount val="5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1">
                    <c:v>5</c:v>
                  </c:pt>
                  <c:pt idx="12">
                    <c:v>6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4</c:v>
                  </c:pt>
                  <c:pt idx="25">
                    <c:v>5</c:v>
                  </c:pt>
                  <c:pt idx="26">
                    <c:v>6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9">
                    <c:v>11</c:v>
                  </c:pt>
                  <c:pt idx="40">
                    <c:v>21</c:v>
                  </c:pt>
                  <c:pt idx="41">
                    <c:v>12</c:v>
                  </c:pt>
                  <c:pt idx="42">
                    <c:v>22</c:v>
                  </c:pt>
                  <c:pt idx="43">
                    <c:v>13</c:v>
                  </c:pt>
                  <c:pt idx="44">
                    <c:v>23</c:v>
                  </c:pt>
                  <c:pt idx="45">
                    <c:v>14</c:v>
                  </c:pt>
                  <c:pt idx="46">
                    <c:v>24</c:v>
                  </c:pt>
                  <c:pt idx="47">
                    <c:v>15</c:v>
                  </c:pt>
                  <c:pt idx="48">
                    <c:v>25</c:v>
                  </c:pt>
                  <c:pt idx="49">
                    <c:v>16</c:v>
                  </c:pt>
                  <c:pt idx="50">
                    <c:v>26</c:v>
                  </c:pt>
                </c:lvl>
                <c:lvl>
                  <c:pt idx="0">
                    <c:v>1</c:v>
                  </c:pt>
                  <c:pt idx="7">
                    <c:v>2</c:v>
                  </c:pt>
                  <c:pt idx="14">
                    <c:v>3</c:v>
                  </c:pt>
                  <c:pt idx="21">
                    <c:v>4</c:v>
                  </c:pt>
                  <c:pt idx="28">
                    <c:v>5</c:v>
                  </c:pt>
                </c:lvl>
              </c:multiLvlStrCache>
            </c:multiLvlStrRef>
          </c:cat>
          <c:val>
            <c:numRef>
              <c:f>أرقام!$C$5:$BZ$5</c:f>
              <c:numCache>
                <c:formatCode>General</c:formatCode>
                <c:ptCount val="52"/>
                <c:pt idx="0">
                  <c:v>22</c:v>
                </c:pt>
                <c:pt idx="7">
                  <c:v>11</c:v>
                </c:pt>
                <c:pt idx="11">
                  <c:v>12</c:v>
                </c:pt>
                <c:pt idx="13">
                  <c:v>11</c:v>
                </c:pt>
                <c:pt idx="17">
                  <c:v>11</c:v>
                </c:pt>
                <c:pt idx="20">
                  <c:v>11</c:v>
                </c:pt>
                <c:pt idx="22">
                  <c:v>11</c:v>
                </c:pt>
                <c:pt idx="29">
                  <c:v>11</c:v>
                </c:pt>
                <c:pt idx="32">
                  <c:v>12</c:v>
                </c:pt>
                <c:pt idx="33">
                  <c:v>11</c:v>
                </c:pt>
                <c:pt idx="34">
                  <c:v>22</c:v>
                </c:pt>
                <c:pt idx="35">
                  <c:v>145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BF-41FB-99A0-3453495F84F5}"/>
            </c:ext>
          </c:extLst>
        </c:ser>
        <c:ser>
          <c:idx val="2"/>
          <c:order val="2"/>
          <c:tx>
            <c:strRef>
              <c:f>أرقام!$A$6:$B$6</c:f>
              <c:strCache>
                <c:ptCount val="2"/>
                <c:pt idx="0">
                  <c:v>فرحان علي</c:v>
                </c:pt>
                <c:pt idx="1">
                  <c:v>14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أرقام!$C$2:$BZ$3</c:f>
              <c:multiLvlStrCache>
                <c:ptCount val="5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1">
                    <c:v>5</c:v>
                  </c:pt>
                  <c:pt idx="12">
                    <c:v>6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4</c:v>
                  </c:pt>
                  <c:pt idx="25">
                    <c:v>5</c:v>
                  </c:pt>
                  <c:pt idx="26">
                    <c:v>6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9">
                    <c:v>11</c:v>
                  </c:pt>
                  <c:pt idx="40">
                    <c:v>21</c:v>
                  </c:pt>
                  <c:pt idx="41">
                    <c:v>12</c:v>
                  </c:pt>
                  <c:pt idx="42">
                    <c:v>22</c:v>
                  </c:pt>
                  <c:pt idx="43">
                    <c:v>13</c:v>
                  </c:pt>
                  <c:pt idx="44">
                    <c:v>23</c:v>
                  </c:pt>
                  <c:pt idx="45">
                    <c:v>14</c:v>
                  </c:pt>
                  <c:pt idx="46">
                    <c:v>24</c:v>
                  </c:pt>
                  <c:pt idx="47">
                    <c:v>15</c:v>
                  </c:pt>
                  <c:pt idx="48">
                    <c:v>25</c:v>
                  </c:pt>
                  <c:pt idx="49">
                    <c:v>16</c:v>
                  </c:pt>
                  <c:pt idx="50">
                    <c:v>26</c:v>
                  </c:pt>
                </c:lvl>
                <c:lvl>
                  <c:pt idx="0">
                    <c:v>1</c:v>
                  </c:pt>
                  <c:pt idx="7">
                    <c:v>2</c:v>
                  </c:pt>
                  <c:pt idx="14">
                    <c:v>3</c:v>
                  </c:pt>
                  <c:pt idx="21">
                    <c:v>4</c:v>
                  </c:pt>
                  <c:pt idx="28">
                    <c:v>5</c:v>
                  </c:pt>
                </c:lvl>
              </c:multiLvlStrCache>
            </c:multiLvlStrRef>
          </c:cat>
          <c:val>
            <c:numRef>
              <c:f>أرقام!$C$6:$BZ$6</c:f>
              <c:numCache>
                <c:formatCode>General</c:formatCode>
                <c:ptCount val="52"/>
                <c:pt idx="0">
                  <c:v>12</c:v>
                </c:pt>
                <c:pt idx="7">
                  <c:v>12</c:v>
                </c:pt>
                <c:pt idx="8">
                  <c:v>22</c:v>
                </c:pt>
                <c:pt idx="15">
                  <c:v>16</c:v>
                </c:pt>
                <c:pt idx="17">
                  <c:v>22</c:v>
                </c:pt>
                <c:pt idx="18">
                  <c:v>12</c:v>
                </c:pt>
                <c:pt idx="19">
                  <c:v>12</c:v>
                </c:pt>
                <c:pt idx="20">
                  <c:v>22</c:v>
                </c:pt>
                <c:pt idx="24">
                  <c:v>26</c:v>
                </c:pt>
                <c:pt idx="25">
                  <c:v>22</c:v>
                </c:pt>
                <c:pt idx="26">
                  <c:v>16</c:v>
                </c:pt>
                <c:pt idx="27">
                  <c:v>12</c:v>
                </c:pt>
                <c:pt idx="31">
                  <c:v>22</c:v>
                </c:pt>
                <c:pt idx="32">
                  <c:v>26</c:v>
                </c:pt>
                <c:pt idx="35">
                  <c:v>254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BF-41FB-99A0-3453495F84F5}"/>
            </c:ext>
          </c:extLst>
        </c:ser>
        <c:ser>
          <c:idx val="3"/>
          <c:order val="3"/>
          <c:tx>
            <c:strRef>
              <c:f>أرقام!$A$7:$B$7</c:f>
              <c:strCache>
                <c:ptCount val="2"/>
                <c:pt idx="0">
                  <c:v>محمد الحجفي</c:v>
                </c:pt>
                <c:pt idx="1">
                  <c:v>10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أرقام!$C$2:$BZ$3</c:f>
              <c:multiLvlStrCache>
                <c:ptCount val="5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1">
                    <c:v>5</c:v>
                  </c:pt>
                  <c:pt idx="12">
                    <c:v>6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4</c:v>
                  </c:pt>
                  <c:pt idx="25">
                    <c:v>5</c:v>
                  </c:pt>
                  <c:pt idx="26">
                    <c:v>6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9">
                    <c:v>11</c:v>
                  </c:pt>
                  <c:pt idx="40">
                    <c:v>21</c:v>
                  </c:pt>
                  <c:pt idx="41">
                    <c:v>12</c:v>
                  </c:pt>
                  <c:pt idx="42">
                    <c:v>22</c:v>
                  </c:pt>
                  <c:pt idx="43">
                    <c:v>13</c:v>
                  </c:pt>
                  <c:pt idx="44">
                    <c:v>23</c:v>
                  </c:pt>
                  <c:pt idx="45">
                    <c:v>14</c:v>
                  </c:pt>
                  <c:pt idx="46">
                    <c:v>24</c:v>
                  </c:pt>
                  <c:pt idx="47">
                    <c:v>15</c:v>
                  </c:pt>
                  <c:pt idx="48">
                    <c:v>25</c:v>
                  </c:pt>
                  <c:pt idx="49">
                    <c:v>16</c:v>
                  </c:pt>
                  <c:pt idx="50">
                    <c:v>26</c:v>
                  </c:pt>
                </c:lvl>
                <c:lvl>
                  <c:pt idx="0">
                    <c:v>1</c:v>
                  </c:pt>
                  <c:pt idx="7">
                    <c:v>2</c:v>
                  </c:pt>
                  <c:pt idx="14">
                    <c:v>3</c:v>
                  </c:pt>
                  <c:pt idx="21">
                    <c:v>4</c:v>
                  </c:pt>
                  <c:pt idx="28">
                    <c:v>5</c:v>
                  </c:pt>
                </c:lvl>
              </c:multiLvlStrCache>
            </c:multiLvlStrRef>
          </c:cat>
          <c:val>
            <c:numRef>
              <c:f>أرقام!$C$7:$BZ$7</c:f>
              <c:numCache>
                <c:formatCode>General</c:formatCode>
                <c:ptCount val="52"/>
                <c:pt idx="2">
                  <c:v>14</c:v>
                </c:pt>
                <c:pt idx="4">
                  <c:v>24</c:v>
                </c:pt>
                <c:pt idx="7">
                  <c:v>23</c:v>
                </c:pt>
                <c:pt idx="8">
                  <c:v>13</c:v>
                </c:pt>
                <c:pt idx="14">
                  <c:v>24</c:v>
                </c:pt>
                <c:pt idx="25">
                  <c:v>24</c:v>
                </c:pt>
                <c:pt idx="26">
                  <c:v>14</c:v>
                </c:pt>
                <c:pt idx="30">
                  <c:v>23</c:v>
                </c:pt>
                <c:pt idx="31">
                  <c:v>14</c:v>
                </c:pt>
                <c:pt idx="32">
                  <c:v>13</c:v>
                </c:pt>
                <c:pt idx="35">
                  <c:v>186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BF-41FB-99A0-3453495F84F5}"/>
            </c:ext>
          </c:extLst>
        </c:ser>
        <c:ser>
          <c:idx val="4"/>
          <c:order val="4"/>
          <c:tx>
            <c:strRef>
              <c:f>أرقام!$A$8:$B$8</c:f>
              <c:strCache>
                <c:ptCount val="2"/>
                <c:pt idx="0">
                  <c:v>أبو عاصم</c:v>
                </c:pt>
                <c:pt idx="1">
                  <c:v>8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أرقام!$C$2:$BZ$3</c:f>
              <c:multiLvlStrCache>
                <c:ptCount val="5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1">
                    <c:v>5</c:v>
                  </c:pt>
                  <c:pt idx="12">
                    <c:v>6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4</c:v>
                  </c:pt>
                  <c:pt idx="25">
                    <c:v>5</c:v>
                  </c:pt>
                  <c:pt idx="26">
                    <c:v>6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9">
                    <c:v>11</c:v>
                  </c:pt>
                  <c:pt idx="40">
                    <c:v>21</c:v>
                  </c:pt>
                  <c:pt idx="41">
                    <c:v>12</c:v>
                  </c:pt>
                  <c:pt idx="42">
                    <c:v>22</c:v>
                  </c:pt>
                  <c:pt idx="43">
                    <c:v>13</c:v>
                  </c:pt>
                  <c:pt idx="44">
                    <c:v>23</c:v>
                  </c:pt>
                  <c:pt idx="45">
                    <c:v>14</c:v>
                  </c:pt>
                  <c:pt idx="46">
                    <c:v>24</c:v>
                  </c:pt>
                  <c:pt idx="47">
                    <c:v>15</c:v>
                  </c:pt>
                  <c:pt idx="48">
                    <c:v>25</c:v>
                  </c:pt>
                  <c:pt idx="49">
                    <c:v>16</c:v>
                  </c:pt>
                  <c:pt idx="50">
                    <c:v>26</c:v>
                  </c:pt>
                </c:lvl>
                <c:lvl>
                  <c:pt idx="0">
                    <c:v>1</c:v>
                  </c:pt>
                  <c:pt idx="7">
                    <c:v>2</c:v>
                  </c:pt>
                  <c:pt idx="14">
                    <c:v>3</c:v>
                  </c:pt>
                  <c:pt idx="21">
                    <c:v>4</c:v>
                  </c:pt>
                  <c:pt idx="28">
                    <c:v>5</c:v>
                  </c:pt>
                </c:lvl>
              </c:multiLvlStrCache>
            </c:multiLvlStrRef>
          </c:cat>
          <c:val>
            <c:numRef>
              <c:f>أرقام!$C$8:$BZ$8</c:f>
              <c:numCache>
                <c:formatCode>General</c:formatCode>
                <c:ptCount val="52"/>
                <c:pt idx="1">
                  <c:v>14</c:v>
                </c:pt>
                <c:pt idx="2">
                  <c:v>24</c:v>
                </c:pt>
                <c:pt idx="8">
                  <c:v>24</c:v>
                </c:pt>
                <c:pt idx="16">
                  <c:v>24</c:v>
                </c:pt>
                <c:pt idx="19">
                  <c:v>14</c:v>
                </c:pt>
                <c:pt idx="22">
                  <c:v>24</c:v>
                </c:pt>
                <c:pt idx="24">
                  <c:v>14</c:v>
                </c:pt>
                <c:pt idx="30">
                  <c:v>14</c:v>
                </c:pt>
                <c:pt idx="35">
                  <c:v>152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3BF-41FB-99A0-3453495F84F5}"/>
            </c:ext>
          </c:extLst>
        </c:ser>
        <c:ser>
          <c:idx val="5"/>
          <c:order val="5"/>
          <c:tx>
            <c:strRef>
              <c:f>أرقام!$A$9:$B$9</c:f>
              <c:strCache>
                <c:ptCount val="2"/>
                <c:pt idx="0">
                  <c:v>علي اليحيوي</c:v>
                </c:pt>
                <c:pt idx="1">
                  <c:v>15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أرقام!$C$2:$BZ$3</c:f>
              <c:multiLvlStrCache>
                <c:ptCount val="5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1">
                    <c:v>5</c:v>
                  </c:pt>
                  <c:pt idx="12">
                    <c:v>6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4</c:v>
                  </c:pt>
                  <c:pt idx="25">
                    <c:v>5</c:v>
                  </c:pt>
                  <c:pt idx="26">
                    <c:v>6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9">
                    <c:v>11</c:v>
                  </c:pt>
                  <c:pt idx="40">
                    <c:v>21</c:v>
                  </c:pt>
                  <c:pt idx="41">
                    <c:v>12</c:v>
                  </c:pt>
                  <c:pt idx="42">
                    <c:v>22</c:v>
                  </c:pt>
                  <c:pt idx="43">
                    <c:v>13</c:v>
                  </c:pt>
                  <c:pt idx="44">
                    <c:v>23</c:v>
                  </c:pt>
                  <c:pt idx="45">
                    <c:v>14</c:v>
                  </c:pt>
                  <c:pt idx="46">
                    <c:v>24</c:v>
                  </c:pt>
                  <c:pt idx="47">
                    <c:v>15</c:v>
                  </c:pt>
                  <c:pt idx="48">
                    <c:v>25</c:v>
                  </c:pt>
                  <c:pt idx="49">
                    <c:v>16</c:v>
                  </c:pt>
                  <c:pt idx="50">
                    <c:v>26</c:v>
                  </c:pt>
                </c:lvl>
                <c:lvl>
                  <c:pt idx="0">
                    <c:v>1</c:v>
                  </c:pt>
                  <c:pt idx="7">
                    <c:v>2</c:v>
                  </c:pt>
                  <c:pt idx="14">
                    <c:v>3</c:v>
                  </c:pt>
                  <c:pt idx="21">
                    <c:v>4</c:v>
                  </c:pt>
                  <c:pt idx="28">
                    <c:v>5</c:v>
                  </c:pt>
                </c:lvl>
              </c:multiLvlStrCache>
            </c:multiLvlStrRef>
          </c:cat>
          <c:val>
            <c:numRef>
              <c:f>أرقام!$C$9:$BZ$9</c:f>
              <c:numCache>
                <c:formatCode>General</c:formatCode>
                <c:ptCount val="52"/>
                <c:pt idx="1">
                  <c:v>11</c:v>
                </c:pt>
                <c:pt idx="2">
                  <c:v>22</c:v>
                </c:pt>
                <c:pt idx="9">
                  <c:v>12</c:v>
                </c:pt>
                <c:pt idx="10">
                  <c:v>22</c:v>
                </c:pt>
                <c:pt idx="14">
                  <c:v>12</c:v>
                </c:pt>
                <c:pt idx="15">
                  <c:v>22</c:v>
                </c:pt>
                <c:pt idx="23">
                  <c:v>11</c:v>
                </c:pt>
                <c:pt idx="24">
                  <c:v>11</c:v>
                </c:pt>
                <c:pt idx="26">
                  <c:v>12</c:v>
                </c:pt>
                <c:pt idx="27">
                  <c:v>22</c:v>
                </c:pt>
                <c:pt idx="30">
                  <c:v>22</c:v>
                </c:pt>
                <c:pt idx="31">
                  <c:v>11</c:v>
                </c:pt>
                <c:pt idx="32">
                  <c:v>11</c:v>
                </c:pt>
                <c:pt idx="33">
                  <c:v>12</c:v>
                </c:pt>
                <c:pt idx="34">
                  <c:v>12</c:v>
                </c:pt>
                <c:pt idx="35">
                  <c:v>225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3BF-41FB-99A0-3453495F84F5}"/>
            </c:ext>
          </c:extLst>
        </c:ser>
        <c:ser>
          <c:idx val="6"/>
          <c:order val="6"/>
          <c:tx>
            <c:strRef>
              <c:f>أرقام!$A$10:$B$10</c:f>
              <c:strCache>
                <c:ptCount val="2"/>
                <c:pt idx="0">
                  <c:v>جبر الغزواني</c:v>
                </c:pt>
                <c:pt idx="1">
                  <c:v>10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أرقام!$C$2:$BZ$3</c:f>
              <c:multiLvlStrCache>
                <c:ptCount val="5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1">
                    <c:v>5</c:v>
                  </c:pt>
                  <c:pt idx="12">
                    <c:v>6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4</c:v>
                  </c:pt>
                  <c:pt idx="25">
                    <c:v>5</c:v>
                  </c:pt>
                  <c:pt idx="26">
                    <c:v>6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9">
                    <c:v>11</c:v>
                  </c:pt>
                  <c:pt idx="40">
                    <c:v>21</c:v>
                  </c:pt>
                  <c:pt idx="41">
                    <c:v>12</c:v>
                  </c:pt>
                  <c:pt idx="42">
                    <c:v>22</c:v>
                  </c:pt>
                  <c:pt idx="43">
                    <c:v>13</c:v>
                  </c:pt>
                  <c:pt idx="44">
                    <c:v>23</c:v>
                  </c:pt>
                  <c:pt idx="45">
                    <c:v>14</c:v>
                  </c:pt>
                  <c:pt idx="46">
                    <c:v>24</c:v>
                  </c:pt>
                  <c:pt idx="47">
                    <c:v>15</c:v>
                  </c:pt>
                  <c:pt idx="48">
                    <c:v>25</c:v>
                  </c:pt>
                  <c:pt idx="49">
                    <c:v>16</c:v>
                  </c:pt>
                  <c:pt idx="50">
                    <c:v>26</c:v>
                  </c:pt>
                </c:lvl>
                <c:lvl>
                  <c:pt idx="0">
                    <c:v>1</c:v>
                  </c:pt>
                  <c:pt idx="7">
                    <c:v>2</c:v>
                  </c:pt>
                  <c:pt idx="14">
                    <c:v>3</c:v>
                  </c:pt>
                  <c:pt idx="21">
                    <c:v>4</c:v>
                  </c:pt>
                  <c:pt idx="28">
                    <c:v>5</c:v>
                  </c:pt>
                </c:lvl>
              </c:multiLvlStrCache>
            </c:multiLvlStrRef>
          </c:cat>
          <c:val>
            <c:numRef>
              <c:f>أرقام!$C$10:$BZ$10</c:f>
              <c:numCache>
                <c:formatCode>General</c:formatCode>
                <c:ptCount val="52"/>
                <c:pt idx="4">
                  <c:v>23</c:v>
                </c:pt>
                <c:pt idx="5">
                  <c:v>13</c:v>
                </c:pt>
                <c:pt idx="6">
                  <c:v>13</c:v>
                </c:pt>
                <c:pt idx="11">
                  <c:v>13</c:v>
                </c:pt>
                <c:pt idx="12">
                  <c:v>23</c:v>
                </c:pt>
                <c:pt idx="14">
                  <c:v>23</c:v>
                </c:pt>
                <c:pt idx="16">
                  <c:v>13</c:v>
                </c:pt>
                <c:pt idx="26">
                  <c:v>13</c:v>
                </c:pt>
                <c:pt idx="27">
                  <c:v>23</c:v>
                </c:pt>
                <c:pt idx="28">
                  <c:v>23</c:v>
                </c:pt>
                <c:pt idx="35">
                  <c:v>180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3BF-41FB-99A0-3453495F84F5}"/>
            </c:ext>
          </c:extLst>
        </c:ser>
        <c:ser>
          <c:idx val="7"/>
          <c:order val="7"/>
          <c:tx>
            <c:strRef>
              <c:f>أرقام!$A$11:$B$11</c:f>
              <c:strCache>
                <c:ptCount val="2"/>
                <c:pt idx="0">
                  <c:v>حسين العثواني</c:v>
                </c:pt>
                <c:pt idx="1">
                  <c:v>12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أرقام!$C$2:$BZ$3</c:f>
              <c:multiLvlStrCache>
                <c:ptCount val="5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1">
                    <c:v>5</c:v>
                  </c:pt>
                  <c:pt idx="12">
                    <c:v>6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4</c:v>
                  </c:pt>
                  <c:pt idx="25">
                    <c:v>5</c:v>
                  </c:pt>
                  <c:pt idx="26">
                    <c:v>6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9">
                    <c:v>11</c:v>
                  </c:pt>
                  <c:pt idx="40">
                    <c:v>21</c:v>
                  </c:pt>
                  <c:pt idx="41">
                    <c:v>12</c:v>
                  </c:pt>
                  <c:pt idx="42">
                    <c:v>22</c:v>
                  </c:pt>
                  <c:pt idx="43">
                    <c:v>13</c:v>
                  </c:pt>
                  <c:pt idx="44">
                    <c:v>23</c:v>
                  </c:pt>
                  <c:pt idx="45">
                    <c:v>14</c:v>
                  </c:pt>
                  <c:pt idx="46">
                    <c:v>24</c:v>
                  </c:pt>
                  <c:pt idx="47">
                    <c:v>15</c:v>
                  </c:pt>
                  <c:pt idx="48">
                    <c:v>25</c:v>
                  </c:pt>
                  <c:pt idx="49">
                    <c:v>16</c:v>
                  </c:pt>
                  <c:pt idx="50">
                    <c:v>26</c:v>
                  </c:pt>
                </c:lvl>
                <c:lvl>
                  <c:pt idx="0">
                    <c:v>1</c:v>
                  </c:pt>
                  <c:pt idx="7">
                    <c:v>2</c:v>
                  </c:pt>
                  <c:pt idx="14">
                    <c:v>3</c:v>
                  </c:pt>
                  <c:pt idx="21">
                    <c:v>4</c:v>
                  </c:pt>
                  <c:pt idx="28">
                    <c:v>5</c:v>
                  </c:pt>
                </c:lvl>
              </c:multiLvlStrCache>
            </c:multiLvlStrRef>
          </c:cat>
          <c:val>
            <c:numRef>
              <c:f>أرقام!$C$11:$BZ$11</c:f>
              <c:numCache>
                <c:formatCode>General</c:formatCode>
                <c:ptCount val="52"/>
                <c:pt idx="2">
                  <c:v>11</c:v>
                </c:pt>
                <c:pt idx="4">
                  <c:v>25</c:v>
                </c:pt>
                <c:pt idx="5">
                  <c:v>15</c:v>
                </c:pt>
                <c:pt idx="6">
                  <c:v>15</c:v>
                </c:pt>
                <c:pt idx="9">
                  <c:v>25</c:v>
                </c:pt>
                <c:pt idx="14">
                  <c:v>11</c:v>
                </c:pt>
                <c:pt idx="24">
                  <c:v>25</c:v>
                </c:pt>
                <c:pt idx="26">
                  <c:v>15</c:v>
                </c:pt>
                <c:pt idx="30">
                  <c:v>11</c:v>
                </c:pt>
                <c:pt idx="32">
                  <c:v>15</c:v>
                </c:pt>
                <c:pt idx="33">
                  <c:v>25</c:v>
                </c:pt>
                <c:pt idx="34">
                  <c:v>11</c:v>
                </c:pt>
                <c:pt idx="35">
                  <c:v>204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3BF-41FB-99A0-3453495F84F5}"/>
            </c:ext>
          </c:extLst>
        </c:ser>
        <c:ser>
          <c:idx val="8"/>
          <c:order val="8"/>
          <c:tx>
            <c:strRef>
              <c:f>أرقام!$A$12:$B$12</c:f>
              <c:strCache>
                <c:ptCount val="2"/>
                <c:pt idx="0">
                  <c:v>احمد يحيى</c:v>
                </c:pt>
                <c:pt idx="1">
                  <c:v>12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أرقام!$C$2:$BZ$3</c:f>
              <c:multiLvlStrCache>
                <c:ptCount val="5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1">
                    <c:v>5</c:v>
                  </c:pt>
                  <c:pt idx="12">
                    <c:v>6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4</c:v>
                  </c:pt>
                  <c:pt idx="25">
                    <c:v>5</c:v>
                  </c:pt>
                  <c:pt idx="26">
                    <c:v>6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9">
                    <c:v>11</c:v>
                  </c:pt>
                  <c:pt idx="40">
                    <c:v>21</c:v>
                  </c:pt>
                  <c:pt idx="41">
                    <c:v>12</c:v>
                  </c:pt>
                  <c:pt idx="42">
                    <c:v>22</c:v>
                  </c:pt>
                  <c:pt idx="43">
                    <c:v>13</c:v>
                  </c:pt>
                  <c:pt idx="44">
                    <c:v>23</c:v>
                  </c:pt>
                  <c:pt idx="45">
                    <c:v>14</c:v>
                  </c:pt>
                  <c:pt idx="46">
                    <c:v>24</c:v>
                  </c:pt>
                  <c:pt idx="47">
                    <c:v>15</c:v>
                  </c:pt>
                  <c:pt idx="48">
                    <c:v>25</c:v>
                  </c:pt>
                  <c:pt idx="49">
                    <c:v>16</c:v>
                  </c:pt>
                  <c:pt idx="50">
                    <c:v>26</c:v>
                  </c:pt>
                </c:lvl>
                <c:lvl>
                  <c:pt idx="0">
                    <c:v>1</c:v>
                  </c:pt>
                  <c:pt idx="7">
                    <c:v>2</c:v>
                  </c:pt>
                  <c:pt idx="14">
                    <c:v>3</c:v>
                  </c:pt>
                  <c:pt idx="21">
                    <c:v>4</c:v>
                  </c:pt>
                  <c:pt idx="28">
                    <c:v>5</c:v>
                  </c:pt>
                </c:lvl>
              </c:multiLvlStrCache>
            </c:multiLvlStrRef>
          </c:cat>
          <c:val>
            <c:numRef>
              <c:f>أرقام!$C$12:$BZ$12</c:f>
              <c:numCache>
                <c:formatCode>General</c:formatCode>
                <c:ptCount val="52"/>
                <c:pt idx="5">
                  <c:v>22</c:v>
                </c:pt>
                <c:pt idx="6">
                  <c:v>22</c:v>
                </c:pt>
                <c:pt idx="11">
                  <c:v>22</c:v>
                </c:pt>
                <c:pt idx="12">
                  <c:v>12</c:v>
                </c:pt>
                <c:pt idx="13">
                  <c:v>12</c:v>
                </c:pt>
                <c:pt idx="14">
                  <c:v>22</c:v>
                </c:pt>
                <c:pt idx="15">
                  <c:v>12</c:v>
                </c:pt>
                <c:pt idx="21">
                  <c:v>12</c:v>
                </c:pt>
                <c:pt idx="30">
                  <c:v>12</c:v>
                </c:pt>
                <c:pt idx="31">
                  <c:v>12</c:v>
                </c:pt>
                <c:pt idx="32">
                  <c:v>22</c:v>
                </c:pt>
                <c:pt idx="33">
                  <c:v>22</c:v>
                </c:pt>
                <c:pt idx="35">
                  <c:v>204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3BF-41FB-99A0-3453495F84F5}"/>
            </c:ext>
          </c:extLst>
        </c:ser>
        <c:ser>
          <c:idx val="9"/>
          <c:order val="9"/>
          <c:tx>
            <c:strRef>
              <c:f>أرقام!$A$13:$B$13</c:f>
              <c:strCache>
                <c:ptCount val="2"/>
                <c:pt idx="0">
                  <c:v>سالم حردان</c:v>
                </c:pt>
                <c:pt idx="1">
                  <c:v>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أرقام!$C$2:$BZ$3</c:f>
              <c:multiLvlStrCache>
                <c:ptCount val="5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1">
                    <c:v>5</c:v>
                  </c:pt>
                  <c:pt idx="12">
                    <c:v>6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4</c:v>
                  </c:pt>
                  <c:pt idx="25">
                    <c:v>5</c:v>
                  </c:pt>
                  <c:pt idx="26">
                    <c:v>6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9">
                    <c:v>11</c:v>
                  </c:pt>
                  <c:pt idx="40">
                    <c:v>21</c:v>
                  </c:pt>
                  <c:pt idx="41">
                    <c:v>12</c:v>
                  </c:pt>
                  <c:pt idx="42">
                    <c:v>22</c:v>
                  </c:pt>
                  <c:pt idx="43">
                    <c:v>13</c:v>
                  </c:pt>
                  <c:pt idx="44">
                    <c:v>23</c:v>
                  </c:pt>
                  <c:pt idx="45">
                    <c:v>14</c:v>
                  </c:pt>
                  <c:pt idx="46">
                    <c:v>24</c:v>
                  </c:pt>
                  <c:pt idx="47">
                    <c:v>15</c:v>
                  </c:pt>
                  <c:pt idx="48">
                    <c:v>25</c:v>
                  </c:pt>
                  <c:pt idx="49">
                    <c:v>16</c:v>
                  </c:pt>
                  <c:pt idx="50">
                    <c:v>26</c:v>
                  </c:pt>
                </c:lvl>
                <c:lvl>
                  <c:pt idx="0">
                    <c:v>1</c:v>
                  </c:pt>
                  <c:pt idx="7">
                    <c:v>2</c:v>
                  </c:pt>
                  <c:pt idx="14">
                    <c:v>3</c:v>
                  </c:pt>
                  <c:pt idx="21">
                    <c:v>4</c:v>
                  </c:pt>
                  <c:pt idx="28">
                    <c:v>5</c:v>
                  </c:pt>
                </c:lvl>
              </c:multiLvlStrCache>
            </c:multiLvlStrRef>
          </c:cat>
          <c:val>
            <c:numRef>
              <c:f>أرقام!$C$13:$BZ$13</c:f>
              <c:numCache>
                <c:formatCode>General</c:formatCode>
                <c:ptCount val="52"/>
                <c:pt idx="0">
                  <c:v>11</c:v>
                </c:pt>
                <c:pt idx="10">
                  <c:v>12</c:v>
                </c:pt>
                <c:pt idx="12">
                  <c:v>11</c:v>
                </c:pt>
                <c:pt idx="16">
                  <c:v>22</c:v>
                </c:pt>
                <c:pt idx="20">
                  <c:v>12</c:v>
                </c:pt>
                <c:pt idx="24">
                  <c:v>12</c:v>
                </c:pt>
                <c:pt idx="25">
                  <c:v>11</c:v>
                </c:pt>
                <c:pt idx="26">
                  <c:v>22</c:v>
                </c:pt>
                <c:pt idx="28">
                  <c:v>22</c:v>
                </c:pt>
                <c:pt idx="35">
                  <c:v>135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3BF-41FB-99A0-3453495F84F5}"/>
            </c:ext>
          </c:extLst>
        </c:ser>
        <c:ser>
          <c:idx val="10"/>
          <c:order val="10"/>
          <c:tx>
            <c:strRef>
              <c:f>أرقام!$A$14:$B$14</c:f>
              <c:strCache>
                <c:ptCount val="2"/>
                <c:pt idx="0">
                  <c:v>الفيدلي</c:v>
                </c:pt>
                <c:pt idx="1">
                  <c:v>10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أرقام!$C$2:$BZ$3</c:f>
              <c:multiLvlStrCache>
                <c:ptCount val="5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1">
                    <c:v>5</c:v>
                  </c:pt>
                  <c:pt idx="12">
                    <c:v>6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4</c:v>
                  </c:pt>
                  <c:pt idx="25">
                    <c:v>5</c:v>
                  </c:pt>
                  <c:pt idx="26">
                    <c:v>6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9">
                    <c:v>11</c:v>
                  </c:pt>
                  <c:pt idx="40">
                    <c:v>21</c:v>
                  </c:pt>
                  <c:pt idx="41">
                    <c:v>12</c:v>
                  </c:pt>
                  <c:pt idx="42">
                    <c:v>22</c:v>
                  </c:pt>
                  <c:pt idx="43">
                    <c:v>13</c:v>
                  </c:pt>
                  <c:pt idx="44">
                    <c:v>23</c:v>
                  </c:pt>
                  <c:pt idx="45">
                    <c:v>14</c:v>
                  </c:pt>
                  <c:pt idx="46">
                    <c:v>24</c:v>
                  </c:pt>
                  <c:pt idx="47">
                    <c:v>15</c:v>
                  </c:pt>
                  <c:pt idx="48">
                    <c:v>25</c:v>
                  </c:pt>
                  <c:pt idx="49">
                    <c:v>16</c:v>
                  </c:pt>
                  <c:pt idx="50">
                    <c:v>26</c:v>
                  </c:pt>
                </c:lvl>
                <c:lvl>
                  <c:pt idx="0">
                    <c:v>1</c:v>
                  </c:pt>
                  <c:pt idx="7">
                    <c:v>2</c:v>
                  </c:pt>
                  <c:pt idx="14">
                    <c:v>3</c:v>
                  </c:pt>
                  <c:pt idx="21">
                    <c:v>4</c:v>
                  </c:pt>
                  <c:pt idx="28">
                    <c:v>5</c:v>
                  </c:pt>
                </c:lvl>
              </c:multiLvlStrCache>
            </c:multiLvlStrRef>
          </c:cat>
          <c:val>
            <c:numRef>
              <c:f>أرقام!$C$14:$BZ$14</c:f>
              <c:numCache>
                <c:formatCode>General</c:formatCode>
                <c:ptCount val="52"/>
                <c:pt idx="3">
                  <c:v>22</c:v>
                </c:pt>
                <c:pt idx="5">
                  <c:v>12</c:v>
                </c:pt>
                <c:pt idx="9">
                  <c:v>11</c:v>
                </c:pt>
                <c:pt idx="16">
                  <c:v>11</c:v>
                </c:pt>
                <c:pt idx="21">
                  <c:v>22</c:v>
                </c:pt>
                <c:pt idx="22">
                  <c:v>12</c:v>
                </c:pt>
                <c:pt idx="31">
                  <c:v>23</c:v>
                </c:pt>
                <c:pt idx="32">
                  <c:v>23</c:v>
                </c:pt>
                <c:pt idx="33">
                  <c:v>13</c:v>
                </c:pt>
                <c:pt idx="34">
                  <c:v>13</c:v>
                </c:pt>
                <c:pt idx="35">
                  <c:v>162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3BF-41FB-99A0-3453495F84F5}"/>
            </c:ext>
          </c:extLst>
        </c:ser>
        <c:ser>
          <c:idx val="11"/>
          <c:order val="11"/>
          <c:tx>
            <c:strRef>
              <c:f>أرقام!$A$15:$B$15</c:f>
              <c:strCache>
                <c:ptCount val="2"/>
                <c:pt idx="0">
                  <c:v>يحيى العزي</c:v>
                </c:pt>
                <c:pt idx="1">
                  <c:v>18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أرقام!$C$2:$BZ$3</c:f>
              <c:multiLvlStrCache>
                <c:ptCount val="5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1">
                    <c:v>5</c:v>
                  </c:pt>
                  <c:pt idx="12">
                    <c:v>6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4</c:v>
                  </c:pt>
                  <c:pt idx="25">
                    <c:v>5</c:v>
                  </c:pt>
                  <c:pt idx="26">
                    <c:v>6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9">
                    <c:v>11</c:v>
                  </c:pt>
                  <c:pt idx="40">
                    <c:v>21</c:v>
                  </c:pt>
                  <c:pt idx="41">
                    <c:v>12</c:v>
                  </c:pt>
                  <c:pt idx="42">
                    <c:v>22</c:v>
                  </c:pt>
                  <c:pt idx="43">
                    <c:v>13</c:v>
                  </c:pt>
                  <c:pt idx="44">
                    <c:v>23</c:v>
                  </c:pt>
                  <c:pt idx="45">
                    <c:v>14</c:v>
                  </c:pt>
                  <c:pt idx="46">
                    <c:v>24</c:v>
                  </c:pt>
                  <c:pt idx="47">
                    <c:v>15</c:v>
                  </c:pt>
                  <c:pt idx="48">
                    <c:v>25</c:v>
                  </c:pt>
                  <c:pt idx="49">
                    <c:v>16</c:v>
                  </c:pt>
                  <c:pt idx="50">
                    <c:v>26</c:v>
                  </c:pt>
                </c:lvl>
                <c:lvl>
                  <c:pt idx="0">
                    <c:v>1</c:v>
                  </c:pt>
                  <c:pt idx="7">
                    <c:v>2</c:v>
                  </c:pt>
                  <c:pt idx="14">
                    <c:v>3</c:v>
                  </c:pt>
                  <c:pt idx="21">
                    <c:v>4</c:v>
                  </c:pt>
                  <c:pt idx="28">
                    <c:v>5</c:v>
                  </c:pt>
                </c:lvl>
              </c:multiLvlStrCache>
            </c:multiLvlStrRef>
          </c:cat>
          <c:val>
            <c:numRef>
              <c:f>أرقام!$C$15:$BZ$15</c:f>
              <c:numCache>
                <c:formatCode>General</c:formatCode>
                <c:ptCount val="52"/>
                <c:pt idx="0">
                  <c:v>23</c:v>
                </c:pt>
                <c:pt idx="1">
                  <c:v>13</c:v>
                </c:pt>
                <c:pt idx="5">
                  <c:v>14</c:v>
                </c:pt>
                <c:pt idx="6">
                  <c:v>24</c:v>
                </c:pt>
                <c:pt idx="9">
                  <c:v>13</c:v>
                </c:pt>
                <c:pt idx="10">
                  <c:v>24</c:v>
                </c:pt>
                <c:pt idx="11">
                  <c:v>23</c:v>
                </c:pt>
                <c:pt idx="12">
                  <c:v>14</c:v>
                </c:pt>
                <c:pt idx="14">
                  <c:v>13</c:v>
                </c:pt>
                <c:pt idx="17">
                  <c:v>14</c:v>
                </c:pt>
                <c:pt idx="18">
                  <c:v>24</c:v>
                </c:pt>
                <c:pt idx="19">
                  <c:v>13</c:v>
                </c:pt>
                <c:pt idx="20">
                  <c:v>23</c:v>
                </c:pt>
                <c:pt idx="21">
                  <c:v>14</c:v>
                </c:pt>
                <c:pt idx="22">
                  <c:v>23</c:v>
                </c:pt>
                <c:pt idx="23">
                  <c:v>24</c:v>
                </c:pt>
                <c:pt idx="28">
                  <c:v>14</c:v>
                </c:pt>
                <c:pt idx="29">
                  <c:v>24</c:v>
                </c:pt>
                <c:pt idx="35">
                  <c:v>334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3BF-41FB-99A0-3453495F84F5}"/>
            </c:ext>
          </c:extLst>
        </c:ser>
        <c:ser>
          <c:idx val="12"/>
          <c:order val="12"/>
          <c:tx>
            <c:strRef>
              <c:f>أرقام!$A$16:$B$16</c:f>
              <c:strCache>
                <c:ptCount val="2"/>
                <c:pt idx="0">
                  <c:v>جبران علي</c:v>
                </c:pt>
                <c:pt idx="1">
                  <c:v>16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أرقام!$C$2:$BZ$3</c:f>
              <c:multiLvlStrCache>
                <c:ptCount val="5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1">
                    <c:v>5</c:v>
                  </c:pt>
                  <c:pt idx="12">
                    <c:v>6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4</c:v>
                  </c:pt>
                  <c:pt idx="25">
                    <c:v>5</c:v>
                  </c:pt>
                  <c:pt idx="26">
                    <c:v>6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9">
                    <c:v>11</c:v>
                  </c:pt>
                  <c:pt idx="40">
                    <c:v>21</c:v>
                  </c:pt>
                  <c:pt idx="41">
                    <c:v>12</c:v>
                  </c:pt>
                  <c:pt idx="42">
                    <c:v>22</c:v>
                  </c:pt>
                  <c:pt idx="43">
                    <c:v>13</c:v>
                  </c:pt>
                  <c:pt idx="44">
                    <c:v>23</c:v>
                  </c:pt>
                  <c:pt idx="45">
                    <c:v>14</c:v>
                  </c:pt>
                  <c:pt idx="46">
                    <c:v>24</c:v>
                  </c:pt>
                  <c:pt idx="47">
                    <c:v>15</c:v>
                  </c:pt>
                  <c:pt idx="48">
                    <c:v>25</c:v>
                  </c:pt>
                  <c:pt idx="49">
                    <c:v>16</c:v>
                  </c:pt>
                  <c:pt idx="50">
                    <c:v>26</c:v>
                  </c:pt>
                </c:lvl>
                <c:lvl>
                  <c:pt idx="0">
                    <c:v>1</c:v>
                  </c:pt>
                  <c:pt idx="7">
                    <c:v>2</c:v>
                  </c:pt>
                  <c:pt idx="14">
                    <c:v>3</c:v>
                  </c:pt>
                  <c:pt idx="21">
                    <c:v>4</c:v>
                  </c:pt>
                  <c:pt idx="28">
                    <c:v>5</c:v>
                  </c:pt>
                </c:lvl>
              </c:multiLvlStrCache>
            </c:multiLvlStrRef>
          </c:cat>
          <c:val>
            <c:numRef>
              <c:f>أرقام!$C$16:$BZ$16</c:f>
              <c:numCache>
                <c:formatCode>General</c:formatCode>
                <c:ptCount val="52"/>
                <c:pt idx="2">
                  <c:v>13</c:v>
                </c:pt>
                <c:pt idx="3">
                  <c:v>13</c:v>
                </c:pt>
                <c:pt idx="4">
                  <c:v>14</c:v>
                </c:pt>
                <c:pt idx="5">
                  <c:v>24</c:v>
                </c:pt>
                <c:pt idx="6">
                  <c:v>14</c:v>
                </c:pt>
                <c:pt idx="7">
                  <c:v>13</c:v>
                </c:pt>
                <c:pt idx="8">
                  <c:v>14</c:v>
                </c:pt>
                <c:pt idx="9">
                  <c:v>24</c:v>
                </c:pt>
                <c:pt idx="18">
                  <c:v>14</c:v>
                </c:pt>
                <c:pt idx="19">
                  <c:v>24</c:v>
                </c:pt>
                <c:pt idx="20">
                  <c:v>13</c:v>
                </c:pt>
                <c:pt idx="21">
                  <c:v>24</c:v>
                </c:pt>
                <c:pt idx="30">
                  <c:v>13</c:v>
                </c:pt>
                <c:pt idx="31">
                  <c:v>13</c:v>
                </c:pt>
                <c:pt idx="32">
                  <c:v>14</c:v>
                </c:pt>
                <c:pt idx="33">
                  <c:v>24</c:v>
                </c:pt>
                <c:pt idx="35">
                  <c:v>268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3BF-41FB-99A0-3453495F84F5}"/>
            </c:ext>
          </c:extLst>
        </c:ser>
        <c:ser>
          <c:idx val="13"/>
          <c:order val="13"/>
          <c:tx>
            <c:strRef>
              <c:f>أرقام!$A$17:$B$17</c:f>
              <c:strCache>
                <c:ptCount val="2"/>
                <c:pt idx="0">
                  <c:v>يحيى احمد</c:v>
                </c:pt>
                <c:pt idx="1">
                  <c:v>11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أرقام!$C$2:$BZ$3</c:f>
              <c:multiLvlStrCache>
                <c:ptCount val="5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1">
                    <c:v>5</c:v>
                  </c:pt>
                  <c:pt idx="12">
                    <c:v>6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4</c:v>
                  </c:pt>
                  <c:pt idx="25">
                    <c:v>5</c:v>
                  </c:pt>
                  <c:pt idx="26">
                    <c:v>6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9">
                    <c:v>11</c:v>
                  </c:pt>
                  <c:pt idx="40">
                    <c:v>21</c:v>
                  </c:pt>
                  <c:pt idx="41">
                    <c:v>12</c:v>
                  </c:pt>
                  <c:pt idx="42">
                    <c:v>22</c:v>
                  </c:pt>
                  <c:pt idx="43">
                    <c:v>13</c:v>
                  </c:pt>
                  <c:pt idx="44">
                    <c:v>23</c:v>
                  </c:pt>
                  <c:pt idx="45">
                    <c:v>14</c:v>
                  </c:pt>
                  <c:pt idx="46">
                    <c:v>24</c:v>
                  </c:pt>
                  <c:pt idx="47">
                    <c:v>15</c:v>
                  </c:pt>
                  <c:pt idx="48">
                    <c:v>25</c:v>
                  </c:pt>
                  <c:pt idx="49">
                    <c:v>16</c:v>
                  </c:pt>
                  <c:pt idx="50">
                    <c:v>26</c:v>
                  </c:pt>
                </c:lvl>
                <c:lvl>
                  <c:pt idx="0">
                    <c:v>1</c:v>
                  </c:pt>
                  <c:pt idx="7">
                    <c:v>2</c:v>
                  </c:pt>
                  <c:pt idx="14">
                    <c:v>3</c:v>
                  </c:pt>
                  <c:pt idx="21">
                    <c:v>4</c:v>
                  </c:pt>
                  <c:pt idx="28">
                    <c:v>5</c:v>
                  </c:pt>
                </c:lvl>
              </c:multiLvlStrCache>
            </c:multiLvlStrRef>
          </c:cat>
          <c:val>
            <c:numRef>
              <c:f>أرقام!$C$17:$BZ$17</c:f>
              <c:numCache>
                <c:formatCode>General</c:formatCode>
                <c:ptCount val="52"/>
                <c:pt idx="1">
                  <c:v>12</c:v>
                </c:pt>
                <c:pt idx="3">
                  <c:v>14</c:v>
                </c:pt>
                <c:pt idx="4">
                  <c:v>16</c:v>
                </c:pt>
                <c:pt idx="7">
                  <c:v>14</c:v>
                </c:pt>
                <c:pt idx="15">
                  <c:v>13</c:v>
                </c:pt>
                <c:pt idx="18">
                  <c:v>16</c:v>
                </c:pt>
                <c:pt idx="21">
                  <c:v>11</c:v>
                </c:pt>
                <c:pt idx="24">
                  <c:v>13</c:v>
                </c:pt>
                <c:pt idx="25">
                  <c:v>16</c:v>
                </c:pt>
                <c:pt idx="28">
                  <c:v>11</c:v>
                </c:pt>
                <c:pt idx="29">
                  <c:v>12</c:v>
                </c:pt>
                <c:pt idx="35">
                  <c:v>148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3BF-41FB-99A0-3453495F84F5}"/>
            </c:ext>
          </c:extLst>
        </c:ser>
        <c:ser>
          <c:idx val="14"/>
          <c:order val="14"/>
          <c:tx>
            <c:strRef>
              <c:f>أرقام!$A$18:$B$18</c:f>
              <c:strCache>
                <c:ptCount val="2"/>
                <c:pt idx="0">
                  <c:v>أبو محمد</c:v>
                </c:pt>
                <c:pt idx="1">
                  <c:v>9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أرقام!$C$2:$BZ$3</c:f>
              <c:multiLvlStrCache>
                <c:ptCount val="5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1">
                    <c:v>5</c:v>
                  </c:pt>
                  <c:pt idx="12">
                    <c:v>6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4</c:v>
                  </c:pt>
                  <c:pt idx="25">
                    <c:v>5</c:v>
                  </c:pt>
                  <c:pt idx="26">
                    <c:v>6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9">
                    <c:v>11</c:v>
                  </c:pt>
                  <c:pt idx="40">
                    <c:v>21</c:v>
                  </c:pt>
                  <c:pt idx="41">
                    <c:v>12</c:v>
                  </c:pt>
                  <c:pt idx="42">
                    <c:v>22</c:v>
                  </c:pt>
                  <c:pt idx="43">
                    <c:v>13</c:v>
                  </c:pt>
                  <c:pt idx="44">
                    <c:v>23</c:v>
                  </c:pt>
                  <c:pt idx="45">
                    <c:v>14</c:v>
                  </c:pt>
                  <c:pt idx="46">
                    <c:v>24</c:v>
                  </c:pt>
                  <c:pt idx="47">
                    <c:v>15</c:v>
                  </c:pt>
                  <c:pt idx="48">
                    <c:v>25</c:v>
                  </c:pt>
                  <c:pt idx="49">
                    <c:v>16</c:v>
                  </c:pt>
                  <c:pt idx="50">
                    <c:v>26</c:v>
                  </c:pt>
                </c:lvl>
                <c:lvl>
                  <c:pt idx="0">
                    <c:v>1</c:v>
                  </c:pt>
                  <c:pt idx="7">
                    <c:v>2</c:v>
                  </c:pt>
                  <c:pt idx="14">
                    <c:v>3</c:v>
                  </c:pt>
                  <c:pt idx="21">
                    <c:v>4</c:v>
                  </c:pt>
                  <c:pt idx="28">
                    <c:v>5</c:v>
                  </c:pt>
                </c:lvl>
              </c:multiLvlStrCache>
            </c:multiLvlStrRef>
          </c:cat>
          <c:val>
            <c:numRef>
              <c:f>أرقام!$C$18:$BZ$18</c:f>
              <c:numCache>
                <c:formatCode>General</c:formatCode>
                <c:ptCount val="52"/>
                <c:pt idx="1">
                  <c:v>22</c:v>
                </c:pt>
                <c:pt idx="3">
                  <c:v>24</c:v>
                </c:pt>
                <c:pt idx="4">
                  <c:v>26</c:v>
                </c:pt>
                <c:pt idx="7">
                  <c:v>24</c:v>
                </c:pt>
                <c:pt idx="15">
                  <c:v>23</c:v>
                </c:pt>
                <c:pt idx="18">
                  <c:v>26</c:v>
                </c:pt>
                <c:pt idx="24">
                  <c:v>23</c:v>
                </c:pt>
                <c:pt idx="25">
                  <c:v>26</c:v>
                </c:pt>
                <c:pt idx="29">
                  <c:v>22</c:v>
                </c:pt>
                <c:pt idx="35">
                  <c:v>216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3BF-41FB-99A0-3453495F84F5}"/>
            </c:ext>
          </c:extLst>
        </c:ser>
        <c:ser>
          <c:idx val="15"/>
          <c:order val="15"/>
          <c:tx>
            <c:strRef>
              <c:f>أرقام!$A$19:$B$19</c:f>
              <c:strCache>
                <c:ptCount val="2"/>
                <c:pt idx="0">
                  <c:v>ماهر</c:v>
                </c:pt>
                <c:pt idx="1">
                  <c:v>20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أرقام!$C$2:$BZ$3</c:f>
              <c:multiLvlStrCache>
                <c:ptCount val="5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1">
                    <c:v>5</c:v>
                  </c:pt>
                  <c:pt idx="12">
                    <c:v>6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4</c:v>
                  </c:pt>
                  <c:pt idx="25">
                    <c:v>5</c:v>
                  </c:pt>
                  <c:pt idx="26">
                    <c:v>6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9">
                    <c:v>11</c:v>
                  </c:pt>
                  <c:pt idx="40">
                    <c:v>21</c:v>
                  </c:pt>
                  <c:pt idx="41">
                    <c:v>12</c:v>
                  </c:pt>
                  <c:pt idx="42">
                    <c:v>22</c:v>
                  </c:pt>
                  <c:pt idx="43">
                    <c:v>13</c:v>
                  </c:pt>
                  <c:pt idx="44">
                    <c:v>23</c:v>
                  </c:pt>
                  <c:pt idx="45">
                    <c:v>14</c:v>
                  </c:pt>
                  <c:pt idx="46">
                    <c:v>24</c:v>
                  </c:pt>
                  <c:pt idx="47">
                    <c:v>15</c:v>
                  </c:pt>
                  <c:pt idx="48">
                    <c:v>25</c:v>
                  </c:pt>
                  <c:pt idx="49">
                    <c:v>16</c:v>
                  </c:pt>
                  <c:pt idx="50">
                    <c:v>26</c:v>
                  </c:pt>
                </c:lvl>
                <c:lvl>
                  <c:pt idx="0">
                    <c:v>1</c:v>
                  </c:pt>
                  <c:pt idx="7">
                    <c:v>2</c:v>
                  </c:pt>
                  <c:pt idx="14">
                    <c:v>3</c:v>
                  </c:pt>
                  <c:pt idx="21">
                    <c:v>4</c:v>
                  </c:pt>
                  <c:pt idx="28">
                    <c:v>5</c:v>
                  </c:pt>
                </c:lvl>
              </c:multiLvlStrCache>
            </c:multiLvlStrRef>
          </c:cat>
          <c:val>
            <c:numRef>
              <c:f>أرقام!$C$19:$BZ$19</c:f>
              <c:numCache>
                <c:formatCode>General</c:formatCode>
                <c:ptCount val="52"/>
                <c:pt idx="2">
                  <c:v>16</c:v>
                </c:pt>
                <c:pt idx="3">
                  <c:v>26</c:v>
                </c:pt>
                <c:pt idx="4">
                  <c:v>12</c:v>
                </c:pt>
                <c:pt idx="5">
                  <c:v>11</c:v>
                </c:pt>
                <c:pt idx="7">
                  <c:v>22</c:v>
                </c:pt>
                <c:pt idx="8">
                  <c:v>12</c:v>
                </c:pt>
                <c:pt idx="10">
                  <c:v>14</c:v>
                </c:pt>
                <c:pt idx="11">
                  <c:v>24</c:v>
                </c:pt>
                <c:pt idx="12">
                  <c:v>13</c:v>
                </c:pt>
                <c:pt idx="15">
                  <c:v>11</c:v>
                </c:pt>
                <c:pt idx="17">
                  <c:v>16</c:v>
                </c:pt>
                <c:pt idx="18">
                  <c:v>23</c:v>
                </c:pt>
                <c:pt idx="19">
                  <c:v>26</c:v>
                </c:pt>
                <c:pt idx="21">
                  <c:v>23</c:v>
                </c:pt>
                <c:pt idx="23">
                  <c:v>13</c:v>
                </c:pt>
                <c:pt idx="24">
                  <c:v>22</c:v>
                </c:pt>
                <c:pt idx="25">
                  <c:v>14</c:v>
                </c:pt>
                <c:pt idx="26">
                  <c:v>24</c:v>
                </c:pt>
                <c:pt idx="28">
                  <c:v>24</c:v>
                </c:pt>
                <c:pt idx="29">
                  <c:v>14</c:v>
                </c:pt>
                <c:pt idx="35">
                  <c:v>360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3BF-41FB-99A0-3453495F84F5}"/>
            </c:ext>
          </c:extLst>
        </c:ser>
        <c:ser>
          <c:idx val="16"/>
          <c:order val="16"/>
          <c:tx>
            <c:strRef>
              <c:f>أرقام!$A$20:$B$20</c:f>
              <c:strCache>
                <c:ptCount val="2"/>
                <c:pt idx="0">
                  <c:v>محمد علي</c:v>
                </c:pt>
                <c:pt idx="1">
                  <c:v>0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أرقام!$C$2:$BZ$3</c:f>
              <c:multiLvlStrCache>
                <c:ptCount val="5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1">
                    <c:v>5</c:v>
                  </c:pt>
                  <c:pt idx="12">
                    <c:v>6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4</c:v>
                  </c:pt>
                  <c:pt idx="25">
                    <c:v>5</c:v>
                  </c:pt>
                  <c:pt idx="26">
                    <c:v>6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9">
                    <c:v>11</c:v>
                  </c:pt>
                  <c:pt idx="40">
                    <c:v>21</c:v>
                  </c:pt>
                  <c:pt idx="41">
                    <c:v>12</c:v>
                  </c:pt>
                  <c:pt idx="42">
                    <c:v>22</c:v>
                  </c:pt>
                  <c:pt idx="43">
                    <c:v>13</c:v>
                  </c:pt>
                  <c:pt idx="44">
                    <c:v>23</c:v>
                  </c:pt>
                  <c:pt idx="45">
                    <c:v>14</c:v>
                  </c:pt>
                  <c:pt idx="46">
                    <c:v>24</c:v>
                  </c:pt>
                  <c:pt idx="47">
                    <c:v>15</c:v>
                  </c:pt>
                  <c:pt idx="48">
                    <c:v>25</c:v>
                  </c:pt>
                  <c:pt idx="49">
                    <c:v>16</c:v>
                  </c:pt>
                  <c:pt idx="50">
                    <c:v>26</c:v>
                  </c:pt>
                </c:lvl>
                <c:lvl>
                  <c:pt idx="0">
                    <c:v>1</c:v>
                  </c:pt>
                  <c:pt idx="7">
                    <c:v>2</c:v>
                  </c:pt>
                  <c:pt idx="14">
                    <c:v>3</c:v>
                  </c:pt>
                  <c:pt idx="21">
                    <c:v>4</c:v>
                  </c:pt>
                  <c:pt idx="28">
                    <c:v>5</c:v>
                  </c:pt>
                </c:lvl>
              </c:multiLvlStrCache>
            </c:multiLvlStrRef>
          </c:cat>
          <c:val>
            <c:numRef>
              <c:f>أرقام!$C$20:$BZ$20</c:f>
              <c:numCache>
                <c:formatCode>General</c:formatCode>
                <c:ptCount val="52"/>
                <c:pt idx="35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3BF-41FB-99A0-3453495F84F5}"/>
            </c:ext>
          </c:extLst>
        </c:ser>
        <c:ser>
          <c:idx val="17"/>
          <c:order val="17"/>
          <c:tx>
            <c:strRef>
              <c:f>أرقام!$A$21:$B$21</c:f>
              <c:strCache>
                <c:ptCount val="2"/>
                <c:pt idx="0">
                  <c:v>سالم يحيى</c:v>
                </c:pt>
                <c:pt idx="1">
                  <c:v>16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أرقام!$C$2:$BZ$3</c:f>
              <c:multiLvlStrCache>
                <c:ptCount val="5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1">
                    <c:v>5</c:v>
                  </c:pt>
                  <c:pt idx="12">
                    <c:v>6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4</c:v>
                  </c:pt>
                  <c:pt idx="25">
                    <c:v>5</c:v>
                  </c:pt>
                  <c:pt idx="26">
                    <c:v>6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9">
                    <c:v>11</c:v>
                  </c:pt>
                  <c:pt idx="40">
                    <c:v>21</c:v>
                  </c:pt>
                  <c:pt idx="41">
                    <c:v>12</c:v>
                  </c:pt>
                  <c:pt idx="42">
                    <c:v>22</c:v>
                  </c:pt>
                  <c:pt idx="43">
                    <c:v>13</c:v>
                  </c:pt>
                  <c:pt idx="44">
                    <c:v>23</c:v>
                  </c:pt>
                  <c:pt idx="45">
                    <c:v>14</c:v>
                  </c:pt>
                  <c:pt idx="46">
                    <c:v>24</c:v>
                  </c:pt>
                  <c:pt idx="47">
                    <c:v>15</c:v>
                  </c:pt>
                  <c:pt idx="48">
                    <c:v>25</c:v>
                  </c:pt>
                  <c:pt idx="49">
                    <c:v>16</c:v>
                  </c:pt>
                  <c:pt idx="50">
                    <c:v>26</c:v>
                  </c:pt>
                </c:lvl>
                <c:lvl>
                  <c:pt idx="0">
                    <c:v>1</c:v>
                  </c:pt>
                  <c:pt idx="7">
                    <c:v>2</c:v>
                  </c:pt>
                  <c:pt idx="14">
                    <c:v>3</c:v>
                  </c:pt>
                  <c:pt idx="21">
                    <c:v>4</c:v>
                  </c:pt>
                  <c:pt idx="28">
                    <c:v>5</c:v>
                  </c:pt>
                </c:lvl>
              </c:multiLvlStrCache>
            </c:multiLvlStrRef>
          </c:cat>
          <c:val>
            <c:numRef>
              <c:f>أرقام!$C$21:$BZ$21</c:f>
              <c:numCache>
                <c:formatCode>General</c:formatCode>
                <c:ptCount val="52"/>
                <c:pt idx="0">
                  <c:v>25</c:v>
                </c:pt>
                <c:pt idx="1">
                  <c:v>15</c:v>
                </c:pt>
                <c:pt idx="11">
                  <c:v>25</c:v>
                </c:pt>
                <c:pt idx="12">
                  <c:v>24</c:v>
                </c:pt>
                <c:pt idx="13">
                  <c:v>14</c:v>
                </c:pt>
                <c:pt idx="15">
                  <c:v>14</c:v>
                </c:pt>
                <c:pt idx="16">
                  <c:v>14</c:v>
                </c:pt>
                <c:pt idx="17">
                  <c:v>24</c:v>
                </c:pt>
                <c:pt idx="18">
                  <c:v>25</c:v>
                </c:pt>
                <c:pt idx="19">
                  <c:v>15</c:v>
                </c:pt>
                <c:pt idx="23">
                  <c:v>14</c:v>
                </c:pt>
                <c:pt idx="24">
                  <c:v>24</c:v>
                </c:pt>
                <c:pt idx="25">
                  <c:v>15</c:v>
                </c:pt>
                <c:pt idx="26">
                  <c:v>25</c:v>
                </c:pt>
                <c:pt idx="29">
                  <c:v>15</c:v>
                </c:pt>
                <c:pt idx="30">
                  <c:v>24</c:v>
                </c:pt>
                <c:pt idx="35">
                  <c:v>312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63BF-41FB-99A0-3453495F84F5}"/>
            </c:ext>
          </c:extLst>
        </c:ser>
        <c:ser>
          <c:idx val="18"/>
          <c:order val="18"/>
          <c:tx>
            <c:strRef>
              <c:f>أرقام!$A$22:$B$22</c:f>
              <c:strCache>
                <c:ptCount val="2"/>
                <c:pt idx="0">
                  <c:v>محمود</c:v>
                </c:pt>
                <c:pt idx="1">
                  <c:v>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أرقام!$C$2:$BZ$3</c:f>
              <c:multiLvlStrCache>
                <c:ptCount val="5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1">
                    <c:v>5</c:v>
                  </c:pt>
                  <c:pt idx="12">
                    <c:v>6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4</c:v>
                  </c:pt>
                  <c:pt idx="25">
                    <c:v>5</c:v>
                  </c:pt>
                  <c:pt idx="26">
                    <c:v>6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9">
                    <c:v>11</c:v>
                  </c:pt>
                  <c:pt idx="40">
                    <c:v>21</c:v>
                  </c:pt>
                  <c:pt idx="41">
                    <c:v>12</c:v>
                  </c:pt>
                  <c:pt idx="42">
                    <c:v>22</c:v>
                  </c:pt>
                  <c:pt idx="43">
                    <c:v>13</c:v>
                  </c:pt>
                  <c:pt idx="44">
                    <c:v>23</c:v>
                  </c:pt>
                  <c:pt idx="45">
                    <c:v>14</c:v>
                  </c:pt>
                  <c:pt idx="46">
                    <c:v>24</c:v>
                  </c:pt>
                  <c:pt idx="47">
                    <c:v>15</c:v>
                  </c:pt>
                  <c:pt idx="48">
                    <c:v>25</c:v>
                  </c:pt>
                  <c:pt idx="49">
                    <c:v>16</c:v>
                  </c:pt>
                  <c:pt idx="50">
                    <c:v>26</c:v>
                  </c:pt>
                </c:lvl>
                <c:lvl>
                  <c:pt idx="0">
                    <c:v>1</c:v>
                  </c:pt>
                  <c:pt idx="7">
                    <c:v>2</c:v>
                  </c:pt>
                  <c:pt idx="14">
                    <c:v>3</c:v>
                  </c:pt>
                  <c:pt idx="21">
                    <c:v>4</c:v>
                  </c:pt>
                  <c:pt idx="28">
                    <c:v>5</c:v>
                  </c:pt>
                </c:lvl>
              </c:multiLvlStrCache>
            </c:multiLvlStrRef>
          </c:cat>
          <c:val>
            <c:numRef>
              <c:f>أرقام!$C$22:$BZ$22</c:f>
              <c:numCache>
                <c:formatCode>General</c:formatCode>
                <c:ptCount val="52"/>
                <c:pt idx="1">
                  <c:v>26</c:v>
                </c:pt>
                <c:pt idx="6">
                  <c:v>16</c:v>
                </c:pt>
                <c:pt idx="7">
                  <c:v>26</c:v>
                </c:pt>
                <c:pt idx="9">
                  <c:v>16</c:v>
                </c:pt>
                <c:pt idx="14">
                  <c:v>26</c:v>
                </c:pt>
                <c:pt idx="22">
                  <c:v>26</c:v>
                </c:pt>
                <c:pt idx="23">
                  <c:v>16</c:v>
                </c:pt>
                <c:pt idx="30">
                  <c:v>16</c:v>
                </c:pt>
                <c:pt idx="31">
                  <c:v>16</c:v>
                </c:pt>
                <c:pt idx="33">
                  <c:v>26</c:v>
                </c:pt>
                <c:pt idx="35">
                  <c:v>210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3BF-41FB-99A0-3453495F84F5}"/>
            </c:ext>
          </c:extLst>
        </c:ser>
        <c:ser>
          <c:idx val="19"/>
          <c:order val="19"/>
          <c:tx>
            <c:strRef>
              <c:f>أرقام!$A$23:$B$23</c:f>
              <c:strCache>
                <c:ptCount val="2"/>
                <c:pt idx="0">
                  <c:v>حسين سالم</c:v>
                </c:pt>
                <c:pt idx="1">
                  <c:v>16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أرقام!$C$2:$BZ$3</c:f>
              <c:multiLvlStrCache>
                <c:ptCount val="5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1">
                    <c:v>5</c:v>
                  </c:pt>
                  <c:pt idx="12">
                    <c:v>6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4</c:v>
                  </c:pt>
                  <c:pt idx="25">
                    <c:v>5</c:v>
                  </c:pt>
                  <c:pt idx="26">
                    <c:v>6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9">
                    <c:v>11</c:v>
                  </c:pt>
                  <c:pt idx="40">
                    <c:v>21</c:v>
                  </c:pt>
                  <c:pt idx="41">
                    <c:v>12</c:v>
                  </c:pt>
                  <c:pt idx="42">
                    <c:v>22</c:v>
                  </c:pt>
                  <c:pt idx="43">
                    <c:v>13</c:v>
                  </c:pt>
                  <c:pt idx="44">
                    <c:v>23</c:v>
                  </c:pt>
                  <c:pt idx="45">
                    <c:v>14</c:v>
                  </c:pt>
                  <c:pt idx="46">
                    <c:v>24</c:v>
                  </c:pt>
                  <c:pt idx="47">
                    <c:v>15</c:v>
                  </c:pt>
                  <c:pt idx="48">
                    <c:v>25</c:v>
                  </c:pt>
                  <c:pt idx="49">
                    <c:v>16</c:v>
                  </c:pt>
                  <c:pt idx="50">
                    <c:v>26</c:v>
                  </c:pt>
                </c:lvl>
                <c:lvl>
                  <c:pt idx="0">
                    <c:v>1</c:v>
                  </c:pt>
                  <c:pt idx="7">
                    <c:v>2</c:v>
                  </c:pt>
                  <c:pt idx="14">
                    <c:v>3</c:v>
                  </c:pt>
                  <c:pt idx="21">
                    <c:v>4</c:v>
                  </c:pt>
                  <c:pt idx="28">
                    <c:v>5</c:v>
                  </c:pt>
                </c:lvl>
              </c:multiLvlStrCache>
            </c:multiLvlStrRef>
          </c:cat>
          <c:val>
            <c:numRef>
              <c:f>أرقام!$C$23:$BZ$23</c:f>
              <c:numCache>
                <c:formatCode>General</c:formatCode>
                <c:ptCount val="52"/>
                <c:pt idx="0">
                  <c:v>14</c:v>
                </c:pt>
                <c:pt idx="1">
                  <c:v>24</c:v>
                </c:pt>
                <c:pt idx="9">
                  <c:v>15</c:v>
                </c:pt>
                <c:pt idx="11">
                  <c:v>14</c:v>
                </c:pt>
                <c:pt idx="12">
                  <c:v>15</c:v>
                </c:pt>
                <c:pt idx="13">
                  <c:v>25</c:v>
                </c:pt>
                <c:pt idx="14">
                  <c:v>15</c:v>
                </c:pt>
                <c:pt idx="15">
                  <c:v>24</c:v>
                </c:pt>
                <c:pt idx="16">
                  <c:v>25</c:v>
                </c:pt>
                <c:pt idx="22">
                  <c:v>25</c:v>
                </c:pt>
                <c:pt idx="23">
                  <c:v>15</c:v>
                </c:pt>
                <c:pt idx="28">
                  <c:v>25</c:v>
                </c:pt>
                <c:pt idx="30">
                  <c:v>15</c:v>
                </c:pt>
                <c:pt idx="31">
                  <c:v>25</c:v>
                </c:pt>
                <c:pt idx="32">
                  <c:v>24</c:v>
                </c:pt>
                <c:pt idx="33">
                  <c:v>14</c:v>
                </c:pt>
                <c:pt idx="35">
                  <c:v>314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63BF-41FB-99A0-3453495F84F5}"/>
            </c:ext>
          </c:extLst>
        </c:ser>
        <c:ser>
          <c:idx val="20"/>
          <c:order val="20"/>
          <c:tx>
            <c:strRef>
              <c:f>أرقام!$A$24:$B$24</c:f>
              <c:strCache>
                <c:ptCount val="2"/>
                <c:pt idx="0">
                  <c:v>حسين الفيفيي</c:v>
                </c:pt>
                <c:pt idx="1">
                  <c:v>14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أرقام!$C$2:$BZ$3</c:f>
              <c:multiLvlStrCache>
                <c:ptCount val="5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1">
                    <c:v>5</c:v>
                  </c:pt>
                  <c:pt idx="12">
                    <c:v>6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4</c:v>
                  </c:pt>
                  <c:pt idx="25">
                    <c:v>5</c:v>
                  </c:pt>
                  <c:pt idx="26">
                    <c:v>6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9">
                    <c:v>11</c:v>
                  </c:pt>
                  <c:pt idx="40">
                    <c:v>21</c:v>
                  </c:pt>
                  <c:pt idx="41">
                    <c:v>12</c:v>
                  </c:pt>
                  <c:pt idx="42">
                    <c:v>22</c:v>
                  </c:pt>
                  <c:pt idx="43">
                    <c:v>13</c:v>
                  </c:pt>
                  <c:pt idx="44">
                    <c:v>23</c:v>
                  </c:pt>
                  <c:pt idx="45">
                    <c:v>14</c:v>
                  </c:pt>
                  <c:pt idx="46">
                    <c:v>24</c:v>
                  </c:pt>
                  <c:pt idx="47">
                    <c:v>15</c:v>
                  </c:pt>
                  <c:pt idx="48">
                    <c:v>25</c:v>
                  </c:pt>
                  <c:pt idx="49">
                    <c:v>16</c:v>
                  </c:pt>
                  <c:pt idx="50">
                    <c:v>26</c:v>
                  </c:pt>
                </c:lvl>
                <c:lvl>
                  <c:pt idx="0">
                    <c:v>1</c:v>
                  </c:pt>
                  <c:pt idx="7">
                    <c:v>2</c:v>
                  </c:pt>
                  <c:pt idx="14">
                    <c:v>3</c:v>
                  </c:pt>
                  <c:pt idx="21">
                    <c:v>4</c:v>
                  </c:pt>
                  <c:pt idx="28">
                    <c:v>5</c:v>
                  </c:pt>
                </c:lvl>
              </c:multiLvlStrCache>
            </c:multiLvlStrRef>
          </c:cat>
          <c:val>
            <c:numRef>
              <c:f>أرقام!$C$24:$BZ$24</c:f>
              <c:numCache>
                <c:formatCode>General</c:formatCode>
                <c:ptCount val="52"/>
                <c:pt idx="3">
                  <c:v>12</c:v>
                </c:pt>
                <c:pt idx="5">
                  <c:v>16</c:v>
                </c:pt>
                <c:pt idx="6">
                  <c:v>26</c:v>
                </c:pt>
                <c:pt idx="8">
                  <c:v>26</c:v>
                </c:pt>
                <c:pt idx="9">
                  <c:v>22</c:v>
                </c:pt>
                <c:pt idx="10">
                  <c:v>16</c:v>
                </c:pt>
                <c:pt idx="12">
                  <c:v>22</c:v>
                </c:pt>
                <c:pt idx="13">
                  <c:v>22</c:v>
                </c:pt>
                <c:pt idx="16">
                  <c:v>12</c:v>
                </c:pt>
                <c:pt idx="23">
                  <c:v>22</c:v>
                </c:pt>
                <c:pt idx="24">
                  <c:v>16</c:v>
                </c:pt>
                <c:pt idx="25">
                  <c:v>12</c:v>
                </c:pt>
                <c:pt idx="26">
                  <c:v>26</c:v>
                </c:pt>
                <c:pt idx="28">
                  <c:v>12</c:v>
                </c:pt>
                <c:pt idx="35">
                  <c:v>262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3BF-41FB-99A0-3453495F84F5}"/>
            </c:ext>
          </c:extLst>
        </c:ser>
        <c:ser>
          <c:idx val="21"/>
          <c:order val="21"/>
          <c:tx>
            <c:strRef>
              <c:f>أرقام!$A$25:$B$25</c:f>
              <c:strCache>
                <c:ptCount val="2"/>
                <c:pt idx="0">
                  <c:v>ابراهيم</c:v>
                </c:pt>
                <c:pt idx="1">
                  <c:v>14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أرقام!$C$2:$BZ$3</c:f>
              <c:multiLvlStrCache>
                <c:ptCount val="5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1">
                    <c:v>5</c:v>
                  </c:pt>
                  <c:pt idx="12">
                    <c:v>6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4</c:v>
                  </c:pt>
                  <c:pt idx="25">
                    <c:v>5</c:v>
                  </c:pt>
                  <c:pt idx="26">
                    <c:v>6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9">
                    <c:v>11</c:v>
                  </c:pt>
                  <c:pt idx="40">
                    <c:v>21</c:v>
                  </c:pt>
                  <c:pt idx="41">
                    <c:v>12</c:v>
                  </c:pt>
                  <c:pt idx="42">
                    <c:v>22</c:v>
                  </c:pt>
                  <c:pt idx="43">
                    <c:v>13</c:v>
                  </c:pt>
                  <c:pt idx="44">
                    <c:v>23</c:v>
                  </c:pt>
                  <c:pt idx="45">
                    <c:v>14</c:v>
                  </c:pt>
                  <c:pt idx="46">
                    <c:v>24</c:v>
                  </c:pt>
                  <c:pt idx="47">
                    <c:v>15</c:v>
                  </c:pt>
                  <c:pt idx="48">
                    <c:v>25</c:v>
                  </c:pt>
                  <c:pt idx="49">
                    <c:v>16</c:v>
                  </c:pt>
                  <c:pt idx="50">
                    <c:v>26</c:v>
                  </c:pt>
                </c:lvl>
                <c:lvl>
                  <c:pt idx="0">
                    <c:v>1</c:v>
                  </c:pt>
                  <c:pt idx="7">
                    <c:v>2</c:v>
                  </c:pt>
                  <c:pt idx="14">
                    <c:v>3</c:v>
                  </c:pt>
                  <c:pt idx="21">
                    <c:v>4</c:v>
                  </c:pt>
                  <c:pt idx="28">
                    <c:v>5</c:v>
                  </c:pt>
                </c:lvl>
              </c:multiLvlStrCache>
            </c:multiLvlStrRef>
          </c:cat>
          <c:val>
            <c:numRef>
              <c:f>أرقام!$C$25:$BZ$25</c:f>
              <c:numCache>
                <c:formatCode>General</c:formatCode>
                <c:ptCount val="52"/>
                <c:pt idx="0">
                  <c:v>26</c:v>
                </c:pt>
                <c:pt idx="6">
                  <c:v>11</c:v>
                </c:pt>
                <c:pt idx="8">
                  <c:v>16</c:v>
                </c:pt>
                <c:pt idx="9">
                  <c:v>26</c:v>
                </c:pt>
                <c:pt idx="10">
                  <c:v>11</c:v>
                </c:pt>
                <c:pt idx="11">
                  <c:v>11</c:v>
                </c:pt>
                <c:pt idx="13">
                  <c:v>16</c:v>
                </c:pt>
                <c:pt idx="18">
                  <c:v>11</c:v>
                </c:pt>
                <c:pt idx="19">
                  <c:v>16</c:v>
                </c:pt>
                <c:pt idx="23">
                  <c:v>26</c:v>
                </c:pt>
                <c:pt idx="26">
                  <c:v>11</c:v>
                </c:pt>
                <c:pt idx="27">
                  <c:v>11</c:v>
                </c:pt>
                <c:pt idx="28">
                  <c:v>26</c:v>
                </c:pt>
                <c:pt idx="29">
                  <c:v>16</c:v>
                </c:pt>
                <c:pt idx="35">
                  <c:v>234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63BF-41FB-99A0-3453495F84F5}"/>
            </c:ext>
          </c:extLst>
        </c:ser>
        <c:ser>
          <c:idx val="22"/>
          <c:order val="22"/>
          <c:tx>
            <c:strRef>
              <c:f>أرقام!$A$26:$B$26</c:f>
              <c:strCache>
                <c:ptCount val="2"/>
                <c:pt idx="0">
                  <c:v>سلمان محيي</c:v>
                </c:pt>
                <c:pt idx="1">
                  <c:v>14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أرقام!$C$2:$BZ$3</c:f>
              <c:multiLvlStrCache>
                <c:ptCount val="5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1">
                    <c:v>5</c:v>
                  </c:pt>
                  <c:pt idx="12">
                    <c:v>6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4</c:v>
                  </c:pt>
                  <c:pt idx="25">
                    <c:v>5</c:v>
                  </c:pt>
                  <c:pt idx="26">
                    <c:v>6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9">
                    <c:v>11</c:v>
                  </c:pt>
                  <c:pt idx="40">
                    <c:v>21</c:v>
                  </c:pt>
                  <c:pt idx="41">
                    <c:v>12</c:v>
                  </c:pt>
                  <c:pt idx="42">
                    <c:v>22</c:v>
                  </c:pt>
                  <c:pt idx="43">
                    <c:v>13</c:v>
                  </c:pt>
                  <c:pt idx="44">
                    <c:v>23</c:v>
                  </c:pt>
                  <c:pt idx="45">
                    <c:v>14</c:v>
                  </c:pt>
                  <c:pt idx="46">
                    <c:v>24</c:v>
                  </c:pt>
                  <c:pt idx="47">
                    <c:v>15</c:v>
                  </c:pt>
                  <c:pt idx="48">
                    <c:v>25</c:v>
                  </c:pt>
                  <c:pt idx="49">
                    <c:v>16</c:v>
                  </c:pt>
                  <c:pt idx="50">
                    <c:v>26</c:v>
                  </c:pt>
                </c:lvl>
                <c:lvl>
                  <c:pt idx="0">
                    <c:v>1</c:v>
                  </c:pt>
                  <c:pt idx="7">
                    <c:v>2</c:v>
                  </c:pt>
                  <c:pt idx="14">
                    <c:v>3</c:v>
                  </c:pt>
                  <c:pt idx="21">
                    <c:v>4</c:v>
                  </c:pt>
                  <c:pt idx="28">
                    <c:v>5</c:v>
                  </c:pt>
                </c:lvl>
              </c:multiLvlStrCache>
            </c:multiLvlStrRef>
          </c:cat>
          <c:val>
            <c:numRef>
              <c:f>أرقام!$C$26:$BZ$26</c:f>
              <c:numCache>
                <c:formatCode>General</c:formatCode>
                <c:ptCount val="52"/>
                <c:pt idx="0">
                  <c:v>24</c:v>
                </c:pt>
                <c:pt idx="1">
                  <c:v>25</c:v>
                </c:pt>
                <c:pt idx="9">
                  <c:v>14</c:v>
                </c:pt>
                <c:pt idx="10">
                  <c:v>15</c:v>
                </c:pt>
                <c:pt idx="13">
                  <c:v>24</c:v>
                </c:pt>
                <c:pt idx="14">
                  <c:v>14</c:v>
                </c:pt>
                <c:pt idx="17">
                  <c:v>15</c:v>
                </c:pt>
                <c:pt idx="19">
                  <c:v>25</c:v>
                </c:pt>
                <c:pt idx="21">
                  <c:v>15</c:v>
                </c:pt>
                <c:pt idx="22">
                  <c:v>14</c:v>
                </c:pt>
                <c:pt idx="23">
                  <c:v>25</c:v>
                </c:pt>
                <c:pt idx="30">
                  <c:v>25</c:v>
                </c:pt>
                <c:pt idx="31">
                  <c:v>24</c:v>
                </c:pt>
                <c:pt idx="33">
                  <c:v>15</c:v>
                </c:pt>
                <c:pt idx="35">
                  <c:v>274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63BF-41FB-99A0-3453495F84F5}"/>
            </c:ext>
          </c:extLst>
        </c:ser>
        <c:ser>
          <c:idx val="23"/>
          <c:order val="23"/>
          <c:tx>
            <c:strRef>
              <c:f>أرقام!$A$27:$B$27</c:f>
              <c:strCache>
                <c:ptCount val="2"/>
                <c:pt idx="0">
                  <c:v>حسين العمري</c:v>
                </c:pt>
                <c:pt idx="1">
                  <c:v>14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أرقام!$C$2:$BZ$3</c:f>
              <c:multiLvlStrCache>
                <c:ptCount val="5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1">
                    <c:v>5</c:v>
                  </c:pt>
                  <c:pt idx="12">
                    <c:v>6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4</c:v>
                  </c:pt>
                  <c:pt idx="25">
                    <c:v>5</c:v>
                  </c:pt>
                  <c:pt idx="26">
                    <c:v>6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9">
                    <c:v>11</c:v>
                  </c:pt>
                  <c:pt idx="40">
                    <c:v>21</c:v>
                  </c:pt>
                  <c:pt idx="41">
                    <c:v>12</c:v>
                  </c:pt>
                  <c:pt idx="42">
                    <c:v>22</c:v>
                  </c:pt>
                  <c:pt idx="43">
                    <c:v>13</c:v>
                  </c:pt>
                  <c:pt idx="44">
                    <c:v>23</c:v>
                  </c:pt>
                  <c:pt idx="45">
                    <c:v>14</c:v>
                  </c:pt>
                  <c:pt idx="46">
                    <c:v>24</c:v>
                  </c:pt>
                  <c:pt idx="47">
                    <c:v>15</c:v>
                  </c:pt>
                  <c:pt idx="48">
                    <c:v>25</c:v>
                  </c:pt>
                  <c:pt idx="49">
                    <c:v>16</c:v>
                  </c:pt>
                  <c:pt idx="50">
                    <c:v>26</c:v>
                  </c:pt>
                </c:lvl>
                <c:lvl>
                  <c:pt idx="0">
                    <c:v>1</c:v>
                  </c:pt>
                  <c:pt idx="7">
                    <c:v>2</c:v>
                  </c:pt>
                  <c:pt idx="14">
                    <c:v>3</c:v>
                  </c:pt>
                  <c:pt idx="21">
                    <c:v>4</c:v>
                  </c:pt>
                  <c:pt idx="28">
                    <c:v>5</c:v>
                  </c:pt>
                </c:lvl>
              </c:multiLvlStrCache>
            </c:multiLvlStrRef>
          </c:cat>
          <c:val>
            <c:numRef>
              <c:f>أرقام!$C$27:$BZ$27</c:f>
              <c:numCache>
                <c:formatCode>General</c:formatCode>
                <c:ptCount val="52"/>
                <c:pt idx="1">
                  <c:v>16</c:v>
                </c:pt>
                <c:pt idx="3">
                  <c:v>11</c:v>
                </c:pt>
                <c:pt idx="4">
                  <c:v>11</c:v>
                </c:pt>
                <c:pt idx="5">
                  <c:v>26</c:v>
                </c:pt>
                <c:pt idx="8">
                  <c:v>11</c:v>
                </c:pt>
                <c:pt idx="10">
                  <c:v>26</c:v>
                </c:pt>
                <c:pt idx="11">
                  <c:v>26</c:v>
                </c:pt>
                <c:pt idx="12">
                  <c:v>16</c:v>
                </c:pt>
                <c:pt idx="16">
                  <c:v>16</c:v>
                </c:pt>
                <c:pt idx="17">
                  <c:v>26</c:v>
                </c:pt>
                <c:pt idx="19">
                  <c:v>11</c:v>
                </c:pt>
                <c:pt idx="21">
                  <c:v>16</c:v>
                </c:pt>
                <c:pt idx="28">
                  <c:v>16</c:v>
                </c:pt>
                <c:pt idx="29">
                  <c:v>26</c:v>
                </c:pt>
                <c:pt idx="35">
                  <c:v>254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63BF-41FB-99A0-3453495F84F5}"/>
            </c:ext>
          </c:extLst>
        </c:ser>
        <c:ser>
          <c:idx val="24"/>
          <c:order val="24"/>
          <c:tx>
            <c:strRef>
              <c:f>أرقام!$A$28:$B$28</c:f>
              <c:strCache>
                <c:ptCount val="2"/>
                <c:pt idx="0">
                  <c:v>حسن جبار</c:v>
                </c:pt>
                <c:pt idx="1">
                  <c:v>18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أرقام!$C$2:$BZ$3</c:f>
              <c:multiLvlStrCache>
                <c:ptCount val="5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1">
                    <c:v>5</c:v>
                  </c:pt>
                  <c:pt idx="12">
                    <c:v>6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4</c:v>
                  </c:pt>
                  <c:pt idx="25">
                    <c:v>5</c:v>
                  </c:pt>
                  <c:pt idx="26">
                    <c:v>6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9">
                    <c:v>11</c:v>
                  </c:pt>
                  <c:pt idx="40">
                    <c:v>21</c:v>
                  </c:pt>
                  <c:pt idx="41">
                    <c:v>12</c:v>
                  </c:pt>
                  <c:pt idx="42">
                    <c:v>22</c:v>
                  </c:pt>
                  <c:pt idx="43">
                    <c:v>13</c:v>
                  </c:pt>
                  <c:pt idx="44">
                    <c:v>23</c:v>
                  </c:pt>
                  <c:pt idx="45">
                    <c:v>14</c:v>
                  </c:pt>
                  <c:pt idx="46">
                    <c:v>24</c:v>
                  </c:pt>
                  <c:pt idx="47">
                    <c:v>15</c:v>
                  </c:pt>
                  <c:pt idx="48">
                    <c:v>25</c:v>
                  </c:pt>
                  <c:pt idx="49">
                    <c:v>16</c:v>
                  </c:pt>
                  <c:pt idx="50">
                    <c:v>26</c:v>
                  </c:pt>
                </c:lvl>
                <c:lvl>
                  <c:pt idx="0">
                    <c:v>1</c:v>
                  </c:pt>
                  <c:pt idx="7">
                    <c:v>2</c:v>
                  </c:pt>
                  <c:pt idx="14">
                    <c:v>3</c:v>
                  </c:pt>
                  <c:pt idx="21">
                    <c:v>4</c:v>
                  </c:pt>
                  <c:pt idx="28">
                    <c:v>5</c:v>
                  </c:pt>
                </c:lvl>
              </c:multiLvlStrCache>
            </c:multiLvlStrRef>
          </c:cat>
          <c:val>
            <c:numRef>
              <c:f>أرقام!$C$28:$BZ$28</c:f>
              <c:numCache>
                <c:formatCode>General</c:formatCode>
                <c:ptCount val="52"/>
                <c:pt idx="2">
                  <c:v>12</c:v>
                </c:pt>
                <c:pt idx="3">
                  <c:v>15</c:v>
                </c:pt>
                <c:pt idx="4">
                  <c:v>22</c:v>
                </c:pt>
                <c:pt idx="5">
                  <c:v>25</c:v>
                </c:pt>
                <c:pt idx="6">
                  <c:v>12</c:v>
                </c:pt>
                <c:pt idx="7">
                  <c:v>25</c:v>
                </c:pt>
                <c:pt idx="8">
                  <c:v>15</c:v>
                </c:pt>
                <c:pt idx="15">
                  <c:v>25</c:v>
                </c:pt>
                <c:pt idx="16">
                  <c:v>15</c:v>
                </c:pt>
                <c:pt idx="17">
                  <c:v>12</c:v>
                </c:pt>
                <c:pt idx="18">
                  <c:v>22</c:v>
                </c:pt>
                <c:pt idx="19">
                  <c:v>22</c:v>
                </c:pt>
                <c:pt idx="22">
                  <c:v>22</c:v>
                </c:pt>
                <c:pt idx="23">
                  <c:v>12</c:v>
                </c:pt>
                <c:pt idx="24">
                  <c:v>15</c:v>
                </c:pt>
                <c:pt idx="25">
                  <c:v>25</c:v>
                </c:pt>
                <c:pt idx="28">
                  <c:v>15</c:v>
                </c:pt>
                <c:pt idx="29">
                  <c:v>25</c:v>
                </c:pt>
                <c:pt idx="35">
                  <c:v>336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3BF-41FB-99A0-3453495F84F5}"/>
            </c:ext>
          </c:extLst>
        </c:ser>
        <c:ser>
          <c:idx val="25"/>
          <c:order val="25"/>
          <c:tx>
            <c:strRef>
              <c:f>أرقام!$A$29:$B$29</c:f>
              <c:strCache>
                <c:ptCount val="2"/>
                <c:pt idx="0">
                  <c:v>موسى</c:v>
                </c:pt>
                <c:pt idx="1">
                  <c:v>12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أرقام!$C$2:$BZ$3</c:f>
              <c:multiLvlStrCache>
                <c:ptCount val="5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1">
                    <c:v>5</c:v>
                  </c:pt>
                  <c:pt idx="12">
                    <c:v>6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4</c:v>
                  </c:pt>
                  <c:pt idx="25">
                    <c:v>5</c:v>
                  </c:pt>
                  <c:pt idx="26">
                    <c:v>6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9">
                    <c:v>11</c:v>
                  </c:pt>
                  <c:pt idx="40">
                    <c:v>21</c:v>
                  </c:pt>
                  <c:pt idx="41">
                    <c:v>12</c:v>
                  </c:pt>
                  <c:pt idx="42">
                    <c:v>22</c:v>
                  </c:pt>
                  <c:pt idx="43">
                    <c:v>13</c:v>
                  </c:pt>
                  <c:pt idx="44">
                    <c:v>23</c:v>
                  </c:pt>
                  <c:pt idx="45">
                    <c:v>14</c:v>
                  </c:pt>
                  <c:pt idx="46">
                    <c:v>24</c:v>
                  </c:pt>
                  <c:pt idx="47">
                    <c:v>15</c:v>
                  </c:pt>
                  <c:pt idx="48">
                    <c:v>25</c:v>
                  </c:pt>
                  <c:pt idx="49">
                    <c:v>16</c:v>
                  </c:pt>
                  <c:pt idx="50">
                    <c:v>26</c:v>
                  </c:pt>
                </c:lvl>
                <c:lvl>
                  <c:pt idx="0">
                    <c:v>1</c:v>
                  </c:pt>
                  <c:pt idx="7">
                    <c:v>2</c:v>
                  </c:pt>
                  <c:pt idx="14">
                    <c:v>3</c:v>
                  </c:pt>
                  <c:pt idx="21">
                    <c:v>4</c:v>
                  </c:pt>
                  <c:pt idx="28">
                    <c:v>5</c:v>
                  </c:pt>
                </c:lvl>
              </c:multiLvlStrCache>
            </c:multiLvlStrRef>
          </c:cat>
          <c:val>
            <c:numRef>
              <c:f>أرقام!$C$29:$BZ$29</c:f>
              <c:numCache>
                <c:formatCode>General</c:formatCode>
                <c:ptCount val="52"/>
                <c:pt idx="0">
                  <c:v>15</c:v>
                </c:pt>
                <c:pt idx="2">
                  <c:v>25</c:v>
                </c:pt>
                <c:pt idx="7">
                  <c:v>15</c:v>
                </c:pt>
                <c:pt idx="8">
                  <c:v>25</c:v>
                </c:pt>
                <c:pt idx="9">
                  <c:v>23</c:v>
                </c:pt>
                <c:pt idx="10">
                  <c:v>13</c:v>
                </c:pt>
                <c:pt idx="13">
                  <c:v>23</c:v>
                </c:pt>
                <c:pt idx="17">
                  <c:v>23</c:v>
                </c:pt>
                <c:pt idx="18">
                  <c:v>13</c:v>
                </c:pt>
                <c:pt idx="23">
                  <c:v>23</c:v>
                </c:pt>
                <c:pt idx="27">
                  <c:v>13</c:v>
                </c:pt>
                <c:pt idx="29">
                  <c:v>13</c:v>
                </c:pt>
                <c:pt idx="35">
                  <c:v>224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63BF-41FB-99A0-3453495F84F5}"/>
            </c:ext>
          </c:extLst>
        </c:ser>
        <c:ser>
          <c:idx val="26"/>
          <c:order val="26"/>
          <c:tx>
            <c:strRef>
              <c:f>أرقام!$A$30:$B$30</c:f>
              <c:strCache>
                <c:ptCount val="2"/>
                <c:pt idx="0">
                  <c:v>مهدي</c:v>
                </c:pt>
                <c:pt idx="1">
                  <c:v>10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أرقام!$C$2:$BZ$3</c:f>
              <c:multiLvlStrCache>
                <c:ptCount val="5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1">
                    <c:v>5</c:v>
                  </c:pt>
                  <c:pt idx="12">
                    <c:v>6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4</c:v>
                  </c:pt>
                  <c:pt idx="25">
                    <c:v>5</c:v>
                  </c:pt>
                  <c:pt idx="26">
                    <c:v>6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9">
                    <c:v>11</c:v>
                  </c:pt>
                  <c:pt idx="40">
                    <c:v>21</c:v>
                  </c:pt>
                  <c:pt idx="41">
                    <c:v>12</c:v>
                  </c:pt>
                  <c:pt idx="42">
                    <c:v>22</c:v>
                  </c:pt>
                  <c:pt idx="43">
                    <c:v>13</c:v>
                  </c:pt>
                  <c:pt idx="44">
                    <c:v>23</c:v>
                  </c:pt>
                  <c:pt idx="45">
                    <c:v>14</c:v>
                  </c:pt>
                  <c:pt idx="46">
                    <c:v>24</c:v>
                  </c:pt>
                  <c:pt idx="47">
                    <c:v>15</c:v>
                  </c:pt>
                  <c:pt idx="48">
                    <c:v>25</c:v>
                  </c:pt>
                  <c:pt idx="49">
                    <c:v>16</c:v>
                  </c:pt>
                  <c:pt idx="50">
                    <c:v>26</c:v>
                  </c:pt>
                </c:lvl>
                <c:lvl>
                  <c:pt idx="0">
                    <c:v>1</c:v>
                  </c:pt>
                  <c:pt idx="7">
                    <c:v>2</c:v>
                  </c:pt>
                  <c:pt idx="14">
                    <c:v>3</c:v>
                  </c:pt>
                  <c:pt idx="21">
                    <c:v>4</c:v>
                  </c:pt>
                  <c:pt idx="28">
                    <c:v>5</c:v>
                  </c:pt>
                </c:lvl>
              </c:multiLvlStrCache>
            </c:multiLvlStrRef>
          </c:cat>
          <c:val>
            <c:numRef>
              <c:f>أرقام!$C$30:$BZ$30</c:f>
              <c:numCache>
                <c:formatCode>General</c:formatCode>
                <c:ptCount val="52"/>
                <c:pt idx="0">
                  <c:v>13</c:v>
                </c:pt>
                <c:pt idx="1">
                  <c:v>23</c:v>
                </c:pt>
                <c:pt idx="2">
                  <c:v>15</c:v>
                </c:pt>
                <c:pt idx="3">
                  <c:v>25</c:v>
                </c:pt>
                <c:pt idx="10">
                  <c:v>25</c:v>
                </c:pt>
                <c:pt idx="11">
                  <c:v>15</c:v>
                </c:pt>
                <c:pt idx="17">
                  <c:v>25</c:v>
                </c:pt>
                <c:pt idx="18">
                  <c:v>15</c:v>
                </c:pt>
                <c:pt idx="25">
                  <c:v>13</c:v>
                </c:pt>
                <c:pt idx="29">
                  <c:v>23</c:v>
                </c:pt>
                <c:pt idx="35">
                  <c:v>192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63BF-41FB-99A0-3453495F84F5}"/>
            </c:ext>
          </c:extLst>
        </c:ser>
        <c:ser>
          <c:idx val="27"/>
          <c:order val="27"/>
          <c:tx>
            <c:strRef>
              <c:f>أرقام!$A$31:$B$31</c:f>
              <c:strCache>
                <c:ptCount val="2"/>
                <c:pt idx="0">
                  <c:v>ناصر</c:v>
                </c:pt>
                <c:pt idx="1">
                  <c:v>16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أرقام!$C$2:$BZ$3</c:f>
              <c:multiLvlStrCache>
                <c:ptCount val="5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1">
                    <c:v>5</c:v>
                  </c:pt>
                  <c:pt idx="12">
                    <c:v>6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4</c:v>
                  </c:pt>
                  <c:pt idx="25">
                    <c:v>5</c:v>
                  </c:pt>
                  <c:pt idx="26">
                    <c:v>6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9">
                    <c:v>11</c:v>
                  </c:pt>
                  <c:pt idx="40">
                    <c:v>21</c:v>
                  </c:pt>
                  <c:pt idx="41">
                    <c:v>12</c:v>
                  </c:pt>
                  <c:pt idx="42">
                    <c:v>22</c:v>
                  </c:pt>
                  <c:pt idx="43">
                    <c:v>13</c:v>
                  </c:pt>
                  <c:pt idx="44">
                    <c:v>23</c:v>
                  </c:pt>
                  <c:pt idx="45">
                    <c:v>14</c:v>
                  </c:pt>
                  <c:pt idx="46">
                    <c:v>24</c:v>
                  </c:pt>
                  <c:pt idx="47">
                    <c:v>15</c:v>
                  </c:pt>
                  <c:pt idx="48">
                    <c:v>25</c:v>
                  </c:pt>
                  <c:pt idx="49">
                    <c:v>16</c:v>
                  </c:pt>
                  <c:pt idx="50">
                    <c:v>26</c:v>
                  </c:pt>
                </c:lvl>
                <c:lvl>
                  <c:pt idx="0">
                    <c:v>1</c:v>
                  </c:pt>
                  <c:pt idx="7">
                    <c:v>2</c:v>
                  </c:pt>
                  <c:pt idx="14">
                    <c:v>3</c:v>
                  </c:pt>
                  <c:pt idx="21">
                    <c:v>4</c:v>
                  </c:pt>
                  <c:pt idx="28">
                    <c:v>5</c:v>
                  </c:pt>
                </c:lvl>
              </c:multiLvlStrCache>
            </c:multiLvlStrRef>
          </c:cat>
          <c:val>
            <c:numRef>
              <c:f>أرقام!$C$31:$BZ$31</c:f>
              <c:numCache>
                <c:formatCode>General</c:formatCode>
                <c:ptCount val="52"/>
                <c:pt idx="2">
                  <c:v>23</c:v>
                </c:pt>
                <c:pt idx="3">
                  <c:v>23</c:v>
                </c:pt>
                <c:pt idx="4">
                  <c:v>15</c:v>
                </c:pt>
                <c:pt idx="6">
                  <c:v>25</c:v>
                </c:pt>
                <c:pt idx="8">
                  <c:v>23</c:v>
                </c:pt>
                <c:pt idx="12">
                  <c:v>25</c:v>
                </c:pt>
                <c:pt idx="13">
                  <c:v>15</c:v>
                </c:pt>
                <c:pt idx="14">
                  <c:v>25</c:v>
                </c:pt>
                <c:pt idx="15">
                  <c:v>15</c:v>
                </c:pt>
                <c:pt idx="16">
                  <c:v>23</c:v>
                </c:pt>
                <c:pt idx="21">
                  <c:v>25</c:v>
                </c:pt>
                <c:pt idx="22">
                  <c:v>15</c:v>
                </c:pt>
                <c:pt idx="31">
                  <c:v>15</c:v>
                </c:pt>
                <c:pt idx="32">
                  <c:v>25</c:v>
                </c:pt>
                <c:pt idx="33">
                  <c:v>23</c:v>
                </c:pt>
                <c:pt idx="34">
                  <c:v>23</c:v>
                </c:pt>
                <c:pt idx="35">
                  <c:v>338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63BF-41FB-99A0-3453495F84F5}"/>
            </c:ext>
          </c:extLst>
        </c:ser>
        <c:ser>
          <c:idx val="28"/>
          <c:order val="28"/>
          <c:tx>
            <c:strRef>
              <c:f>أرقام!$A$32:$B$32</c:f>
              <c:strCache>
                <c:ptCount val="2"/>
                <c:pt idx="0">
                  <c:v>خالد الخالدي</c:v>
                </c:pt>
                <c:pt idx="1">
                  <c:v>16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أرقام!$C$2:$BZ$3</c:f>
              <c:multiLvlStrCache>
                <c:ptCount val="5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1">
                    <c:v>5</c:v>
                  </c:pt>
                  <c:pt idx="12">
                    <c:v>6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4</c:v>
                  </c:pt>
                  <c:pt idx="25">
                    <c:v>5</c:v>
                  </c:pt>
                  <c:pt idx="26">
                    <c:v>6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9">
                    <c:v>11</c:v>
                  </c:pt>
                  <c:pt idx="40">
                    <c:v>21</c:v>
                  </c:pt>
                  <c:pt idx="41">
                    <c:v>12</c:v>
                  </c:pt>
                  <c:pt idx="42">
                    <c:v>22</c:v>
                  </c:pt>
                  <c:pt idx="43">
                    <c:v>13</c:v>
                  </c:pt>
                  <c:pt idx="44">
                    <c:v>23</c:v>
                  </c:pt>
                  <c:pt idx="45">
                    <c:v>14</c:v>
                  </c:pt>
                  <c:pt idx="46">
                    <c:v>24</c:v>
                  </c:pt>
                  <c:pt idx="47">
                    <c:v>15</c:v>
                  </c:pt>
                  <c:pt idx="48">
                    <c:v>25</c:v>
                  </c:pt>
                  <c:pt idx="49">
                    <c:v>16</c:v>
                  </c:pt>
                  <c:pt idx="50">
                    <c:v>26</c:v>
                  </c:pt>
                </c:lvl>
                <c:lvl>
                  <c:pt idx="0">
                    <c:v>1</c:v>
                  </c:pt>
                  <c:pt idx="7">
                    <c:v>2</c:v>
                  </c:pt>
                  <c:pt idx="14">
                    <c:v>3</c:v>
                  </c:pt>
                  <c:pt idx="21">
                    <c:v>4</c:v>
                  </c:pt>
                  <c:pt idx="28">
                    <c:v>5</c:v>
                  </c:pt>
                </c:lvl>
              </c:multiLvlStrCache>
            </c:multiLvlStrRef>
          </c:cat>
          <c:val>
            <c:numRef>
              <c:f>أرقام!$C$32:$BZ$32</c:f>
              <c:numCache>
                <c:formatCode>General</c:formatCode>
                <c:ptCount val="52"/>
                <c:pt idx="0">
                  <c:v>16</c:v>
                </c:pt>
                <c:pt idx="2">
                  <c:v>26</c:v>
                </c:pt>
                <c:pt idx="3">
                  <c:v>16</c:v>
                </c:pt>
                <c:pt idx="7">
                  <c:v>16</c:v>
                </c:pt>
                <c:pt idx="11">
                  <c:v>16</c:v>
                </c:pt>
                <c:pt idx="12">
                  <c:v>26</c:v>
                </c:pt>
                <c:pt idx="13">
                  <c:v>26</c:v>
                </c:pt>
                <c:pt idx="14">
                  <c:v>16</c:v>
                </c:pt>
                <c:pt idx="15">
                  <c:v>26</c:v>
                </c:pt>
                <c:pt idx="16">
                  <c:v>26</c:v>
                </c:pt>
                <c:pt idx="21">
                  <c:v>26</c:v>
                </c:pt>
                <c:pt idx="22">
                  <c:v>16</c:v>
                </c:pt>
                <c:pt idx="30">
                  <c:v>26</c:v>
                </c:pt>
                <c:pt idx="31">
                  <c:v>26</c:v>
                </c:pt>
                <c:pt idx="32">
                  <c:v>16</c:v>
                </c:pt>
                <c:pt idx="33">
                  <c:v>16</c:v>
                </c:pt>
                <c:pt idx="35">
                  <c:v>336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63BF-41FB-99A0-3453495F84F5}"/>
            </c:ext>
          </c:extLst>
        </c:ser>
        <c:ser>
          <c:idx val="29"/>
          <c:order val="29"/>
          <c:tx>
            <c:strRef>
              <c:f>أرقام!$A$33:$B$33</c:f>
              <c:strCache>
                <c:ptCount val="2"/>
                <c:pt idx="0">
                  <c:v>خالد الخالدي</c:v>
                </c:pt>
                <c:pt idx="1">
                  <c:v>16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أرقام!$C$2:$BZ$3</c:f>
              <c:multiLvlStrCache>
                <c:ptCount val="5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1">
                    <c:v>5</c:v>
                  </c:pt>
                  <c:pt idx="12">
                    <c:v>6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4</c:v>
                  </c:pt>
                  <c:pt idx="25">
                    <c:v>5</c:v>
                  </c:pt>
                  <c:pt idx="26">
                    <c:v>6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9">
                    <c:v>11</c:v>
                  </c:pt>
                  <c:pt idx="40">
                    <c:v>21</c:v>
                  </c:pt>
                  <c:pt idx="41">
                    <c:v>12</c:v>
                  </c:pt>
                  <c:pt idx="42">
                    <c:v>22</c:v>
                  </c:pt>
                  <c:pt idx="43">
                    <c:v>13</c:v>
                  </c:pt>
                  <c:pt idx="44">
                    <c:v>23</c:v>
                  </c:pt>
                  <c:pt idx="45">
                    <c:v>14</c:v>
                  </c:pt>
                  <c:pt idx="46">
                    <c:v>24</c:v>
                  </c:pt>
                  <c:pt idx="47">
                    <c:v>15</c:v>
                  </c:pt>
                  <c:pt idx="48">
                    <c:v>25</c:v>
                  </c:pt>
                  <c:pt idx="49">
                    <c:v>16</c:v>
                  </c:pt>
                  <c:pt idx="50">
                    <c:v>26</c:v>
                  </c:pt>
                </c:lvl>
                <c:lvl>
                  <c:pt idx="0">
                    <c:v>1</c:v>
                  </c:pt>
                  <c:pt idx="7">
                    <c:v>2</c:v>
                  </c:pt>
                  <c:pt idx="14">
                    <c:v>3</c:v>
                  </c:pt>
                  <c:pt idx="21">
                    <c:v>4</c:v>
                  </c:pt>
                  <c:pt idx="28">
                    <c:v>5</c:v>
                  </c:pt>
                </c:lvl>
              </c:multiLvlStrCache>
            </c:multiLvlStrRef>
          </c:cat>
          <c:val>
            <c:numRef>
              <c:f>أرقام!$C$33:$BZ$33</c:f>
              <c:numCache>
                <c:formatCode>General</c:formatCode>
                <c:ptCount val="52"/>
                <c:pt idx="0">
                  <c:v>11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5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11</c:v>
                </c:pt>
                <c:pt idx="26">
                  <c:v>11</c:v>
                </c:pt>
                <c:pt idx="27">
                  <c:v>5</c:v>
                </c:pt>
                <c:pt idx="28">
                  <c:v>11</c:v>
                </c:pt>
                <c:pt idx="29">
                  <c:v>11</c:v>
                </c:pt>
                <c:pt idx="30">
                  <c:v>11</c:v>
                </c:pt>
                <c:pt idx="31">
                  <c:v>11</c:v>
                </c:pt>
                <c:pt idx="32">
                  <c:v>11</c:v>
                </c:pt>
                <c:pt idx="33">
                  <c:v>11</c:v>
                </c:pt>
                <c:pt idx="34">
                  <c:v>5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63BF-41FB-99A0-3453495F84F5}"/>
            </c:ext>
          </c:extLst>
        </c:ser>
        <c:ser>
          <c:idx val="30"/>
          <c:order val="30"/>
          <c:tx>
            <c:strRef>
              <c:f>أرقام!$A$34:$B$34</c:f>
              <c:strCache>
                <c:ptCount val="2"/>
                <c:pt idx="0">
                  <c:v>خالد الخالدي</c:v>
                </c:pt>
                <c:pt idx="1">
                  <c:v>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أرقام!$C$2:$BZ$3</c:f>
              <c:multiLvlStrCache>
                <c:ptCount val="5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1">
                    <c:v>5</c:v>
                  </c:pt>
                  <c:pt idx="12">
                    <c:v>6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4</c:v>
                  </c:pt>
                  <c:pt idx="25">
                    <c:v>5</c:v>
                  </c:pt>
                  <c:pt idx="26">
                    <c:v>6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9">
                    <c:v>11</c:v>
                  </c:pt>
                  <c:pt idx="40">
                    <c:v>21</c:v>
                  </c:pt>
                  <c:pt idx="41">
                    <c:v>12</c:v>
                  </c:pt>
                  <c:pt idx="42">
                    <c:v>22</c:v>
                  </c:pt>
                  <c:pt idx="43">
                    <c:v>13</c:v>
                  </c:pt>
                  <c:pt idx="44">
                    <c:v>23</c:v>
                  </c:pt>
                  <c:pt idx="45">
                    <c:v>14</c:v>
                  </c:pt>
                  <c:pt idx="46">
                    <c:v>24</c:v>
                  </c:pt>
                  <c:pt idx="47">
                    <c:v>15</c:v>
                  </c:pt>
                  <c:pt idx="48">
                    <c:v>25</c:v>
                  </c:pt>
                  <c:pt idx="49">
                    <c:v>16</c:v>
                  </c:pt>
                  <c:pt idx="50">
                    <c:v>26</c:v>
                  </c:pt>
                </c:lvl>
                <c:lvl>
                  <c:pt idx="0">
                    <c:v>1</c:v>
                  </c:pt>
                  <c:pt idx="7">
                    <c:v>2</c:v>
                  </c:pt>
                  <c:pt idx="14">
                    <c:v>3</c:v>
                  </c:pt>
                  <c:pt idx="21">
                    <c:v>4</c:v>
                  </c:pt>
                  <c:pt idx="28">
                    <c:v>5</c:v>
                  </c:pt>
                </c:lvl>
              </c:multiLvlStrCache>
            </c:multiLvlStrRef>
          </c:cat>
          <c:val>
            <c:numRef>
              <c:f>أرقام!$C$34:$BZ$34</c:f>
              <c:numCache>
                <c:formatCode>General</c:formatCode>
                <c:ptCount val="52"/>
                <c:pt idx="0">
                  <c:v>201</c:v>
                </c:pt>
                <c:pt idx="1">
                  <c:v>201</c:v>
                </c:pt>
                <c:pt idx="2">
                  <c:v>201</c:v>
                </c:pt>
                <c:pt idx="3">
                  <c:v>201</c:v>
                </c:pt>
                <c:pt idx="4">
                  <c:v>201</c:v>
                </c:pt>
                <c:pt idx="5">
                  <c:v>201</c:v>
                </c:pt>
                <c:pt idx="6">
                  <c:v>201</c:v>
                </c:pt>
                <c:pt idx="7">
                  <c:v>201</c:v>
                </c:pt>
                <c:pt idx="8">
                  <c:v>201</c:v>
                </c:pt>
                <c:pt idx="9">
                  <c:v>201</c:v>
                </c:pt>
                <c:pt idx="10">
                  <c:v>201</c:v>
                </c:pt>
                <c:pt idx="11">
                  <c:v>201</c:v>
                </c:pt>
                <c:pt idx="12">
                  <c:v>201</c:v>
                </c:pt>
                <c:pt idx="13">
                  <c:v>201</c:v>
                </c:pt>
                <c:pt idx="14">
                  <c:v>201</c:v>
                </c:pt>
                <c:pt idx="15">
                  <c:v>201</c:v>
                </c:pt>
                <c:pt idx="16">
                  <c:v>201</c:v>
                </c:pt>
                <c:pt idx="17">
                  <c:v>201</c:v>
                </c:pt>
                <c:pt idx="18">
                  <c:v>201</c:v>
                </c:pt>
                <c:pt idx="19">
                  <c:v>201</c:v>
                </c:pt>
                <c:pt idx="20">
                  <c:v>81</c:v>
                </c:pt>
                <c:pt idx="21">
                  <c:v>201</c:v>
                </c:pt>
                <c:pt idx="22">
                  <c:v>201</c:v>
                </c:pt>
                <c:pt idx="23">
                  <c:v>201</c:v>
                </c:pt>
                <c:pt idx="24">
                  <c:v>201</c:v>
                </c:pt>
                <c:pt idx="25">
                  <c:v>201</c:v>
                </c:pt>
                <c:pt idx="26">
                  <c:v>201</c:v>
                </c:pt>
                <c:pt idx="27">
                  <c:v>81</c:v>
                </c:pt>
                <c:pt idx="28">
                  <c:v>201</c:v>
                </c:pt>
                <c:pt idx="29">
                  <c:v>201</c:v>
                </c:pt>
                <c:pt idx="30">
                  <c:v>201</c:v>
                </c:pt>
                <c:pt idx="31">
                  <c:v>201</c:v>
                </c:pt>
                <c:pt idx="32">
                  <c:v>201</c:v>
                </c:pt>
                <c:pt idx="33">
                  <c:v>201</c:v>
                </c:pt>
                <c:pt idx="34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63BF-41FB-99A0-3453495F84F5}"/>
            </c:ext>
          </c:extLst>
        </c:ser>
        <c:ser>
          <c:idx val="31"/>
          <c:order val="31"/>
          <c:tx>
            <c:strRef>
              <c:f>أرقام!$A$35:$B$35</c:f>
              <c:strCache>
                <c:ptCount val="2"/>
                <c:pt idx="0">
                  <c:v>خالد الخالدي</c:v>
                </c:pt>
                <c:pt idx="1">
                  <c:v>16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أرقام!$C$2:$BZ$3</c:f>
              <c:multiLvlStrCache>
                <c:ptCount val="5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1">
                    <c:v>5</c:v>
                  </c:pt>
                  <c:pt idx="12">
                    <c:v>6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4</c:v>
                  </c:pt>
                  <c:pt idx="25">
                    <c:v>5</c:v>
                  </c:pt>
                  <c:pt idx="26">
                    <c:v>6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9">
                    <c:v>11</c:v>
                  </c:pt>
                  <c:pt idx="40">
                    <c:v>21</c:v>
                  </c:pt>
                  <c:pt idx="41">
                    <c:v>12</c:v>
                  </c:pt>
                  <c:pt idx="42">
                    <c:v>22</c:v>
                  </c:pt>
                  <c:pt idx="43">
                    <c:v>13</c:v>
                  </c:pt>
                  <c:pt idx="44">
                    <c:v>23</c:v>
                  </c:pt>
                  <c:pt idx="45">
                    <c:v>14</c:v>
                  </c:pt>
                  <c:pt idx="46">
                    <c:v>24</c:v>
                  </c:pt>
                  <c:pt idx="47">
                    <c:v>15</c:v>
                  </c:pt>
                  <c:pt idx="48">
                    <c:v>25</c:v>
                  </c:pt>
                  <c:pt idx="49">
                    <c:v>16</c:v>
                  </c:pt>
                  <c:pt idx="50">
                    <c:v>26</c:v>
                  </c:pt>
                </c:lvl>
                <c:lvl>
                  <c:pt idx="0">
                    <c:v>1</c:v>
                  </c:pt>
                  <c:pt idx="7">
                    <c:v>2</c:v>
                  </c:pt>
                  <c:pt idx="14">
                    <c:v>3</c:v>
                  </c:pt>
                  <c:pt idx="21">
                    <c:v>4</c:v>
                  </c:pt>
                  <c:pt idx="28">
                    <c:v>5</c:v>
                  </c:pt>
                </c:lvl>
              </c:multiLvlStrCache>
            </c:multiLvlStrRef>
          </c:cat>
          <c:val>
            <c:numRef>
              <c:f>أرقام!$C$35:$BZ$35</c:f>
              <c:numCache>
                <c:formatCode>General</c:formatCode>
                <c:ptCount val="52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141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141</c:v>
                </c:pt>
                <c:pt idx="28">
                  <c:v>21</c:v>
                </c:pt>
                <c:pt idx="29">
                  <c:v>21</c:v>
                </c:pt>
                <c:pt idx="30">
                  <c:v>21</c:v>
                </c:pt>
                <c:pt idx="31">
                  <c:v>21</c:v>
                </c:pt>
                <c:pt idx="32">
                  <c:v>21</c:v>
                </c:pt>
                <c:pt idx="33">
                  <c:v>21</c:v>
                </c:pt>
                <c:pt idx="34">
                  <c:v>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63BF-41FB-99A0-3453495F84F5}"/>
            </c:ext>
          </c:extLst>
        </c:ser>
        <c:ser>
          <c:idx val="32"/>
          <c:order val="32"/>
          <c:tx>
            <c:strRef>
              <c:f>أرقام!$A$36:$B$36</c:f>
              <c:strCache>
                <c:ptCount val="2"/>
                <c:pt idx="0">
                  <c:v>خالد الخالدي</c:v>
                </c:pt>
                <c:pt idx="1">
                  <c:v>0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أرقام!$C$2:$BZ$3</c:f>
              <c:multiLvlStrCache>
                <c:ptCount val="5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1">
                    <c:v>5</c:v>
                  </c:pt>
                  <c:pt idx="12">
                    <c:v>6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4</c:v>
                  </c:pt>
                  <c:pt idx="25">
                    <c:v>5</c:v>
                  </c:pt>
                  <c:pt idx="26">
                    <c:v>6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9">
                    <c:v>11</c:v>
                  </c:pt>
                  <c:pt idx="40">
                    <c:v>21</c:v>
                  </c:pt>
                  <c:pt idx="41">
                    <c:v>12</c:v>
                  </c:pt>
                  <c:pt idx="42">
                    <c:v>22</c:v>
                  </c:pt>
                  <c:pt idx="43">
                    <c:v>13</c:v>
                  </c:pt>
                  <c:pt idx="44">
                    <c:v>23</c:v>
                  </c:pt>
                  <c:pt idx="45">
                    <c:v>14</c:v>
                  </c:pt>
                  <c:pt idx="46">
                    <c:v>24</c:v>
                  </c:pt>
                  <c:pt idx="47">
                    <c:v>15</c:v>
                  </c:pt>
                  <c:pt idx="48">
                    <c:v>25</c:v>
                  </c:pt>
                  <c:pt idx="49">
                    <c:v>16</c:v>
                  </c:pt>
                  <c:pt idx="50">
                    <c:v>26</c:v>
                  </c:pt>
                </c:lvl>
                <c:lvl>
                  <c:pt idx="0">
                    <c:v>1</c:v>
                  </c:pt>
                  <c:pt idx="7">
                    <c:v>2</c:v>
                  </c:pt>
                  <c:pt idx="14">
                    <c:v>3</c:v>
                  </c:pt>
                  <c:pt idx="21">
                    <c:v>4</c:v>
                  </c:pt>
                  <c:pt idx="28">
                    <c:v>5</c:v>
                  </c:pt>
                </c:lvl>
              </c:multiLvlStrCache>
            </c:multiLvlStrRef>
          </c:cat>
          <c:val>
            <c:numRef>
              <c:f>أرقام!$C$36:$BZ$36</c:f>
              <c:numCache>
                <c:formatCode>General</c:formatCode>
                <c:ptCount val="52"/>
              </c:numCache>
            </c:numRef>
          </c:val>
          <c:extLst>
            <c:ext xmlns:c16="http://schemas.microsoft.com/office/drawing/2014/chart" uri="{C3380CC4-5D6E-409C-BE32-E72D297353CC}">
              <c16:uniqueId val="{00000020-63BF-41FB-99A0-3453495F84F5}"/>
            </c:ext>
          </c:extLst>
        </c:ser>
        <c:ser>
          <c:idx val="33"/>
          <c:order val="33"/>
          <c:tx>
            <c:strRef>
              <c:f>أرقام!$A$37:$B$37</c:f>
              <c:strCache>
                <c:ptCount val="2"/>
                <c:pt idx="0">
                  <c:v>خالد الخالدي</c:v>
                </c:pt>
                <c:pt idx="1">
                  <c:v>11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أرقام!$C$2:$BZ$3</c:f>
              <c:multiLvlStrCache>
                <c:ptCount val="5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1">
                    <c:v>5</c:v>
                  </c:pt>
                  <c:pt idx="12">
                    <c:v>6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4</c:v>
                  </c:pt>
                  <c:pt idx="25">
                    <c:v>5</c:v>
                  </c:pt>
                  <c:pt idx="26">
                    <c:v>6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9">
                    <c:v>11</c:v>
                  </c:pt>
                  <c:pt idx="40">
                    <c:v>21</c:v>
                  </c:pt>
                  <c:pt idx="41">
                    <c:v>12</c:v>
                  </c:pt>
                  <c:pt idx="42">
                    <c:v>22</c:v>
                  </c:pt>
                  <c:pt idx="43">
                    <c:v>13</c:v>
                  </c:pt>
                  <c:pt idx="44">
                    <c:v>23</c:v>
                  </c:pt>
                  <c:pt idx="45">
                    <c:v>14</c:v>
                  </c:pt>
                  <c:pt idx="46">
                    <c:v>24</c:v>
                  </c:pt>
                  <c:pt idx="47">
                    <c:v>15</c:v>
                  </c:pt>
                  <c:pt idx="48">
                    <c:v>25</c:v>
                  </c:pt>
                  <c:pt idx="49">
                    <c:v>16</c:v>
                  </c:pt>
                  <c:pt idx="50">
                    <c:v>26</c:v>
                  </c:pt>
                </c:lvl>
                <c:lvl>
                  <c:pt idx="0">
                    <c:v>1</c:v>
                  </c:pt>
                  <c:pt idx="7">
                    <c:v>2</c:v>
                  </c:pt>
                  <c:pt idx="14">
                    <c:v>3</c:v>
                  </c:pt>
                  <c:pt idx="21">
                    <c:v>4</c:v>
                  </c:pt>
                  <c:pt idx="28">
                    <c:v>5</c:v>
                  </c:pt>
                </c:lvl>
              </c:multiLvlStrCache>
            </c:multiLvlStrRef>
          </c:cat>
          <c:val>
            <c:numRef>
              <c:f>أرقام!$C$37:$BZ$37</c:f>
              <c:numCache>
                <c:formatCode>General</c:formatCode>
                <c:ptCount val="5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63BF-41FB-99A0-3453495F84F5}"/>
            </c:ext>
          </c:extLst>
        </c:ser>
        <c:ser>
          <c:idx val="34"/>
          <c:order val="34"/>
          <c:tx>
            <c:strRef>
              <c:f>أرقام!$A$38:$B$38</c:f>
              <c:strCache>
                <c:ptCount val="2"/>
                <c:pt idx="0">
                  <c:v>خالد الخالدي</c:v>
                </c:pt>
                <c:pt idx="1">
                  <c:v>21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أرقام!$C$2:$BZ$3</c:f>
              <c:multiLvlStrCache>
                <c:ptCount val="5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1">
                    <c:v>5</c:v>
                  </c:pt>
                  <c:pt idx="12">
                    <c:v>6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4</c:v>
                  </c:pt>
                  <c:pt idx="25">
                    <c:v>5</c:v>
                  </c:pt>
                  <c:pt idx="26">
                    <c:v>6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9">
                    <c:v>11</c:v>
                  </c:pt>
                  <c:pt idx="40">
                    <c:v>21</c:v>
                  </c:pt>
                  <c:pt idx="41">
                    <c:v>12</c:v>
                  </c:pt>
                  <c:pt idx="42">
                    <c:v>22</c:v>
                  </c:pt>
                  <c:pt idx="43">
                    <c:v>13</c:v>
                  </c:pt>
                  <c:pt idx="44">
                    <c:v>23</c:v>
                  </c:pt>
                  <c:pt idx="45">
                    <c:v>14</c:v>
                  </c:pt>
                  <c:pt idx="46">
                    <c:v>24</c:v>
                  </c:pt>
                  <c:pt idx="47">
                    <c:v>15</c:v>
                  </c:pt>
                  <c:pt idx="48">
                    <c:v>25</c:v>
                  </c:pt>
                  <c:pt idx="49">
                    <c:v>16</c:v>
                  </c:pt>
                  <c:pt idx="50">
                    <c:v>26</c:v>
                  </c:pt>
                </c:lvl>
                <c:lvl>
                  <c:pt idx="0">
                    <c:v>1</c:v>
                  </c:pt>
                  <c:pt idx="7">
                    <c:v>2</c:v>
                  </c:pt>
                  <c:pt idx="14">
                    <c:v>3</c:v>
                  </c:pt>
                  <c:pt idx="21">
                    <c:v>4</c:v>
                  </c:pt>
                  <c:pt idx="28">
                    <c:v>5</c:v>
                  </c:pt>
                </c:lvl>
              </c:multiLvlStrCache>
            </c:multiLvlStrRef>
          </c:cat>
          <c:val>
            <c:numRef>
              <c:f>أرقام!$C$38:$BZ$38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63BF-41FB-99A0-3453495F84F5}"/>
            </c:ext>
          </c:extLst>
        </c:ser>
        <c:ser>
          <c:idx val="35"/>
          <c:order val="35"/>
          <c:tx>
            <c:strRef>
              <c:f>أرقام!$A$39:$B$39</c:f>
              <c:strCache>
                <c:ptCount val="2"/>
                <c:pt idx="0">
                  <c:v>خالد الخالدي</c:v>
                </c:pt>
                <c:pt idx="1">
                  <c:v>12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أرقام!$C$2:$BZ$3</c:f>
              <c:multiLvlStrCache>
                <c:ptCount val="5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1">
                    <c:v>5</c:v>
                  </c:pt>
                  <c:pt idx="12">
                    <c:v>6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4</c:v>
                  </c:pt>
                  <c:pt idx="25">
                    <c:v>5</c:v>
                  </c:pt>
                  <c:pt idx="26">
                    <c:v>6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9">
                    <c:v>11</c:v>
                  </c:pt>
                  <c:pt idx="40">
                    <c:v>21</c:v>
                  </c:pt>
                  <c:pt idx="41">
                    <c:v>12</c:v>
                  </c:pt>
                  <c:pt idx="42">
                    <c:v>22</c:v>
                  </c:pt>
                  <c:pt idx="43">
                    <c:v>13</c:v>
                  </c:pt>
                  <c:pt idx="44">
                    <c:v>23</c:v>
                  </c:pt>
                  <c:pt idx="45">
                    <c:v>14</c:v>
                  </c:pt>
                  <c:pt idx="46">
                    <c:v>24</c:v>
                  </c:pt>
                  <c:pt idx="47">
                    <c:v>15</c:v>
                  </c:pt>
                  <c:pt idx="48">
                    <c:v>25</c:v>
                  </c:pt>
                  <c:pt idx="49">
                    <c:v>16</c:v>
                  </c:pt>
                  <c:pt idx="50">
                    <c:v>26</c:v>
                  </c:pt>
                </c:lvl>
                <c:lvl>
                  <c:pt idx="0">
                    <c:v>1</c:v>
                  </c:pt>
                  <c:pt idx="7">
                    <c:v>2</c:v>
                  </c:pt>
                  <c:pt idx="14">
                    <c:v>3</c:v>
                  </c:pt>
                  <c:pt idx="21">
                    <c:v>4</c:v>
                  </c:pt>
                  <c:pt idx="28">
                    <c:v>5</c:v>
                  </c:pt>
                </c:lvl>
              </c:multiLvlStrCache>
            </c:multiLvlStrRef>
          </c:cat>
          <c:val>
            <c:numRef>
              <c:f>أرقام!$C$39:$BZ$39</c:f>
              <c:numCache>
                <c:formatCode>General</c:formatCode>
                <c:ptCount val="5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63BF-41FB-99A0-3453495F84F5}"/>
            </c:ext>
          </c:extLst>
        </c:ser>
        <c:ser>
          <c:idx val="36"/>
          <c:order val="36"/>
          <c:tx>
            <c:strRef>
              <c:f>أرقام!$A$40:$B$40</c:f>
              <c:strCache>
                <c:ptCount val="2"/>
                <c:pt idx="0">
                  <c:v>خالد الخالدي</c:v>
                </c:pt>
                <c:pt idx="1">
                  <c:v>22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أرقام!$C$2:$BZ$3</c:f>
              <c:multiLvlStrCache>
                <c:ptCount val="5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1">
                    <c:v>5</c:v>
                  </c:pt>
                  <c:pt idx="12">
                    <c:v>6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4</c:v>
                  </c:pt>
                  <c:pt idx="25">
                    <c:v>5</c:v>
                  </c:pt>
                  <c:pt idx="26">
                    <c:v>6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9">
                    <c:v>11</c:v>
                  </c:pt>
                  <c:pt idx="40">
                    <c:v>21</c:v>
                  </c:pt>
                  <c:pt idx="41">
                    <c:v>12</c:v>
                  </c:pt>
                  <c:pt idx="42">
                    <c:v>22</c:v>
                  </c:pt>
                  <c:pt idx="43">
                    <c:v>13</c:v>
                  </c:pt>
                  <c:pt idx="44">
                    <c:v>23</c:v>
                  </c:pt>
                  <c:pt idx="45">
                    <c:v>14</c:v>
                  </c:pt>
                  <c:pt idx="46">
                    <c:v>24</c:v>
                  </c:pt>
                  <c:pt idx="47">
                    <c:v>15</c:v>
                  </c:pt>
                  <c:pt idx="48">
                    <c:v>25</c:v>
                  </c:pt>
                  <c:pt idx="49">
                    <c:v>16</c:v>
                  </c:pt>
                  <c:pt idx="50">
                    <c:v>26</c:v>
                  </c:pt>
                </c:lvl>
                <c:lvl>
                  <c:pt idx="0">
                    <c:v>1</c:v>
                  </c:pt>
                  <c:pt idx="7">
                    <c:v>2</c:v>
                  </c:pt>
                  <c:pt idx="14">
                    <c:v>3</c:v>
                  </c:pt>
                  <c:pt idx="21">
                    <c:v>4</c:v>
                  </c:pt>
                  <c:pt idx="28">
                    <c:v>5</c:v>
                  </c:pt>
                </c:lvl>
              </c:multiLvlStrCache>
            </c:multiLvlStrRef>
          </c:cat>
          <c:val>
            <c:numRef>
              <c:f>أرقام!$C$40:$BZ$40</c:f>
              <c:numCache>
                <c:formatCode>General</c:formatCode>
                <c:ptCount val="5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63BF-41FB-99A0-3453495F84F5}"/>
            </c:ext>
          </c:extLst>
        </c:ser>
        <c:ser>
          <c:idx val="37"/>
          <c:order val="37"/>
          <c:tx>
            <c:strRef>
              <c:f>أرقام!$A$41:$B$41</c:f>
              <c:strCache>
                <c:ptCount val="2"/>
                <c:pt idx="0">
                  <c:v>خالد الخالدي</c:v>
                </c:pt>
                <c:pt idx="1">
                  <c:v>13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أرقام!$C$2:$BZ$3</c:f>
              <c:multiLvlStrCache>
                <c:ptCount val="5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1">
                    <c:v>5</c:v>
                  </c:pt>
                  <c:pt idx="12">
                    <c:v>6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4</c:v>
                  </c:pt>
                  <c:pt idx="25">
                    <c:v>5</c:v>
                  </c:pt>
                  <c:pt idx="26">
                    <c:v>6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9">
                    <c:v>11</c:v>
                  </c:pt>
                  <c:pt idx="40">
                    <c:v>21</c:v>
                  </c:pt>
                  <c:pt idx="41">
                    <c:v>12</c:v>
                  </c:pt>
                  <c:pt idx="42">
                    <c:v>22</c:v>
                  </c:pt>
                  <c:pt idx="43">
                    <c:v>13</c:v>
                  </c:pt>
                  <c:pt idx="44">
                    <c:v>23</c:v>
                  </c:pt>
                  <c:pt idx="45">
                    <c:v>14</c:v>
                  </c:pt>
                  <c:pt idx="46">
                    <c:v>24</c:v>
                  </c:pt>
                  <c:pt idx="47">
                    <c:v>15</c:v>
                  </c:pt>
                  <c:pt idx="48">
                    <c:v>25</c:v>
                  </c:pt>
                  <c:pt idx="49">
                    <c:v>16</c:v>
                  </c:pt>
                  <c:pt idx="50">
                    <c:v>26</c:v>
                  </c:pt>
                </c:lvl>
                <c:lvl>
                  <c:pt idx="0">
                    <c:v>1</c:v>
                  </c:pt>
                  <c:pt idx="7">
                    <c:v>2</c:v>
                  </c:pt>
                  <c:pt idx="14">
                    <c:v>3</c:v>
                  </c:pt>
                  <c:pt idx="21">
                    <c:v>4</c:v>
                  </c:pt>
                  <c:pt idx="28">
                    <c:v>5</c:v>
                  </c:pt>
                </c:lvl>
              </c:multiLvlStrCache>
            </c:multiLvlStrRef>
          </c:cat>
          <c:val>
            <c:numRef>
              <c:f>أرقام!$C$41:$BZ$41</c:f>
              <c:numCache>
                <c:formatCode>General</c:formatCode>
                <c:ptCount val="5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63BF-41FB-99A0-3453495F84F5}"/>
            </c:ext>
          </c:extLst>
        </c:ser>
        <c:ser>
          <c:idx val="38"/>
          <c:order val="38"/>
          <c:tx>
            <c:strRef>
              <c:f>أرقام!$A$42:$B$42</c:f>
              <c:strCache>
                <c:ptCount val="2"/>
                <c:pt idx="0">
                  <c:v>خالد الخالدي</c:v>
                </c:pt>
                <c:pt idx="1">
                  <c:v>23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أرقام!$C$2:$BZ$3</c:f>
              <c:multiLvlStrCache>
                <c:ptCount val="5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1">
                    <c:v>5</c:v>
                  </c:pt>
                  <c:pt idx="12">
                    <c:v>6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4</c:v>
                  </c:pt>
                  <c:pt idx="25">
                    <c:v>5</c:v>
                  </c:pt>
                  <c:pt idx="26">
                    <c:v>6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9">
                    <c:v>11</c:v>
                  </c:pt>
                  <c:pt idx="40">
                    <c:v>21</c:v>
                  </c:pt>
                  <c:pt idx="41">
                    <c:v>12</c:v>
                  </c:pt>
                  <c:pt idx="42">
                    <c:v>22</c:v>
                  </c:pt>
                  <c:pt idx="43">
                    <c:v>13</c:v>
                  </c:pt>
                  <c:pt idx="44">
                    <c:v>23</c:v>
                  </c:pt>
                  <c:pt idx="45">
                    <c:v>14</c:v>
                  </c:pt>
                  <c:pt idx="46">
                    <c:v>24</c:v>
                  </c:pt>
                  <c:pt idx="47">
                    <c:v>15</c:v>
                  </c:pt>
                  <c:pt idx="48">
                    <c:v>25</c:v>
                  </c:pt>
                  <c:pt idx="49">
                    <c:v>16</c:v>
                  </c:pt>
                  <c:pt idx="50">
                    <c:v>26</c:v>
                  </c:pt>
                </c:lvl>
                <c:lvl>
                  <c:pt idx="0">
                    <c:v>1</c:v>
                  </c:pt>
                  <c:pt idx="7">
                    <c:v>2</c:v>
                  </c:pt>
                  <c:pt idx="14">
                    <c:v>3</c:v>
                  </c:pt>
                  <c:pt idx="21">
                    <c:v>4</c:v>
                  </c:pt>
                  <c:pt idx="28">
                    <c:v>5</c:v>
                  </c:pt>
                </c:lvl>
              </c:multiLvlStrCache>
            </c:multiLvlStrRef>
          </c:cat>
          <c:val>
            <c:numRef>
              <c:f>أرقام!$C$42:$BZ$42</c:f>
              <c:numCache>
                <c:formatCode>General</c:formatCode>
                <c:ptCount val="5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63BF-41FB-99A0-3453495F84F5}"/>
            </c:ext>
          </c:extLst>
        </c:ser>
        <c:ser>
          <c:idx val="39"/>
          <c:order val="39"/>
          <c:tx>
            <c:strRef>
              <c:f>أرقام!$A$43:$B$43</c:f>
              <c:strCache>
                <c:ptCount val="2"/>
                <c:pt idx="0">
                  <c:v>خالد الخالدي</c:v>
                </c:pt>
                <c:pt idx="1">
                  <c:v>14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أرقام!$C$2:$BZ$3</c:f>
              <c:multiLvlStrCache>
                <c:ptCount val="5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1">
                    <c:v>5</c:v>
                  </c:pt>
                  <c:pt idx="12">
                    <c:v>6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4</c:v>
                  </c:pt>
                  <c:pt idx="25">
                    <c:v>5</c:v>
                  </c:pt>
                  <c:pt idx="26">
                    <c:v>6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9">
                    <c:v>11</c:v>
                  </c:pt>
                  <c:pt idx="40">
                    <c:v>21</c:v>
                  </c:pt>
                  <c:pt idx="41">
                    <c:v>12</c:v>
                  </c:pt>
                  <c:pt idx="42">
                    <c:v>22</c:v>
                  </c:pt>
                  <c:pt idx="43">
                    <c:v>13</c:v>
                  </c:pt>
                  <c:pt idx="44">
                    <c:v>23</c:v>
                  </c:pt>
                  <c:pt idx="45">
                    <c:v>14</c:v>
                  </c:pt>
                  <c:pt idx="46">
                    <c:v>24</c:v>
                  </c:pt>
                  <c:pt idx="47">
                    <c:v>15</c:v>
                  </c:pt>
                  <c:pt idx="48">
                    <c:v>25</c:v>
                  </c:pt>
                  <c:pt idx="49">
                    <c:v>16</c:v>
                  </c:pt>
                  <c:pt idx="50">
                    <c:v>26</c:v>
                  </c:pt>
                </c:lvl>
                <c:lvl>
                  <c:pt idx="0">
                    <c:v>1</c:v>
                  </c:pt>
                  <c:pt idx="7">
                    <c:v>2</c:v>
                  </c:pt>
                  <c:pt idx="14">
                    <c:v>3</c:v>
                  </c:pt>
                  <c:pt idx="21">
                    <c:v>4</c:v>
                  </c:pt>
                  <c:pt idx="28">
                    <c:v>5</c:v>
                  </c:pt>
                </c:lvl>
              </c:multiLvlStrCache>
            </c:multiLvlStrRef>
          </c:cat>
          <c:val>
            <c:numRef>
              <c:f>أرقام!$C$43:$BZ$43</c:f>
              <c:numCache>
                <c:formatCode>General</c:formatCode>
                <c:ptCount val="5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63BF-41FB-99A0-3453495F84F5}"/>
            </c:ext>
          </c:extLst>
        </c:ser>
        <c:ser>
          <c:idx val="40"/>
          <c:order val="40"/>
          <c:tx>
            <c:strRef>
              <c:f>أرقام!$A$44:$B$44</c:f>
              <c:strCache>
                <c:ptCount val="2"/>
                <c:pt idx="0">
                  <c:v>خالد الخالدي</c:v>
                </c:pt>
                <c:pt idx="1">
                  <c:v>24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أرقام!$C$2:$BZ$3</c:f>
              <c:multiLvlStrCache>
                <c:ptCount val="5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1">
                    <c:v>5</c:v>
                  </c:pt>
                  <c:pt idx="12">
                    <c:v>6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4</c:v>
                  </c:pt>
                  <c:pt idx="25">
                    <c:v>5</c:v>
                  </c:pt>
                  <c:pt idx="26">
                    <c:v>6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9">
                    <c:v>11</c:v>
                  </c:pt>
                  <c:pt idx="40">
                    <c:v>21</c:v>
                  </c:pt>
                  <c:pt idx="41">
                    <c:v>12</c:v>
                  </c:pt>
                  <c:pt idx="42">
                    <c:v>22</c:v>
                  </c:pt>
                  <c:pt idx="43">
                    <c:v>13</c:v>
                  </c:pt>
                  <c:pt idx="44">
                    <c:v>23</c:v>
                  </c:pt>
                  <c:pt idx="45">
                    <c:v>14</c:v>
                  </c:pt>
                  <c:pt idx="46">
                    <c:v>24</c:v>
                  </c:pt>
                  <c:pt idx="47">
                    <c:v>15</c:v>
                  </c:pt>
                  <c:pt idx="48">
                    <c:v>25</c:v>
                  </c:pt>
                  <c:pt idx="49">
                    <c:v>16</c:v>
                  </c:pt>
                  <c:pt idx="50">
                    <c:v>26</c:v>
                  </c:pt>
                </c:lvl>
                <c:lvl>
                  <c:pt idx="0">
                    <c:v>1</c:v>
                  </c:pt>
                  <c:pt idx="7">
                    <c:v>2</c:v>
                  </c:pt>
                  <c:pt idx="14">
                    <c:v>3</c:v>
                  </c:pt>
                  <c:pt idx="21">
                    <c:v>4</c:v>
                  </c:pt>
                  <c:pt idx="28">
                    <c:v>5</c:v>
                  </c:pt>
                </c:lvl>
              </c:multiLvlStrCache>
            </c:multiLvlStrRef>
          </c:cat>
          <c:val>
            <c:numRef>
              <c:f>أرقام!$C$44:$BZ$44</c:f>
              <c:numCache>
                <c:formatCode>General</c:formatCode>
                <c:ptCount val="5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63BF-41FB-99A0-3453495F84F5}"/>
            </c:ext>
          </c:extLst>
        </c:ser>
        <c:ser>
          <c:idx val="41"/>
          <c:order val="41"/>
          <c:tx>
            <c:strRef>
              <c:f>أرقام!$A$45:$B$45</c:f>
              <c:strCache>
                <c:ptCount val="2"/>
                <c:pt idx="0">
                  <c:v>خالد الخالدي</c:v>
                </c:pt>
                <c:pt idx="1">
                  <c:v>15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أرقام!$C$2:$BZ$3</c:f>
              <c:multiLvlStrCache>
                <c:ptCount val="5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1">
                    <c:v>5</c:v>
                  </c:pt>
                  <c:pt idx="12">
                    <c:v>6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4</c:v>
                  </c:pt>
                  <c:pt idx="25">
                    <c:v>5</c:v>
                  </c:pt>
                  <c:pt idx="26">
                    <c:v>6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9">
                    <c:v>11</c:v>
                  </c:pt>
                  <c:pt idx="40">
                    <c:v>21</c:v>
                  </c:pt>
                  <c:pt idx="41">
                    <c:v>12</c:v>
                  </c:pt>
                  <c:pt idx="42">
                    <c:v>22</c:v>
                  </c:pt>
                  <c:pt idx="43">
                    <c:v>13</c:v>
                  </c:pt>
                  <c:pt idx="44">
                    <c:v>23</c:v>
                  </c:pt>
                  <c:pt idx="45">
                    <c:v>14</c:v>
                  </c:pt>
                  <c:pt idx="46">
                    <c:v>24</c:v>
                  </c:pt>
                  <c:pt idx="47">
                    <c:v>15</c:v>
                  </c:pt>
                  <c:pt idx="48">
                    <c:v>25</c:v>
                  </c:pt>
                  <c:pt idx="49">
                    <c:v>16</c:v>
                  </c:pt>
                  <c:pt idx="50">
                    <c:v>26</c:v>
                  </c:pt>
                </c:lvl>
                <c:lvl>
                  <c:pt idx="0">
                    <c:v>1</c:v>
                  </c:pt>
                  <c:pt idx="7">
                    <c:v>2</c:v>
                  </c:pt>
                  <c:pt idx="14">
                    <c:v>3</c:v>
                  </c:pt>
                  <c:pt idx="21">
                    <c:v>4</c:v>
                  </c:pt>
                  <c:pt idx="28">
                    <c:v>5</c:v>
                  </c:pt>
                </c:lvl>
              </c:multiLvlStrCache>
            </c:multiLvlStrRef>
          </c:cat>
          <c:val>
            <c:numRef>
              <c:f>أرقام!$C$45:$BZ$45</c:f>
              <c:numCache>
                <c:formatCode>General</c:formatCode>
                <c:ptCount val="5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63BF-41FB-99A0-3453495F84F5}"/>
            </c:ext>
          </c:extLst>
        </c:ser>
        <c:ser>
          <c:idx val="42"/>
          <c:order val="42"/>
          <c:tx>
            <c:strRef>
              <c:f>أرقام!$A$46:$B$46</c:f>
              <c:strCache>
                <c:ptCount val="2"/>
                <c:pt idx="0">
                  <c:v>خالد الخالدي</c:v>
                </c:pt>
                <c:pt idx="1">
                  <c:v>25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أرقام!$C$2:$BZ$3</c:f>
              <c:multiLvlStrCache>
                <c:ptCount val="5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1">
                    <c:v>5</c:v>
                  </c:pt>
                  <c:pt idx="12">
                    <c:v>6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4</c:v>
                  </c:pt>
                  <c:pt idx="25">
                    <c:v>5</c:v>
                  </c:pt>
                  <c:pt idx="26">
                    <c:v>6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9">
                    <c:v>11</c:v>
                  </c:pt>
                  <c:pt idx="40">
                    <c:v>21</c:v>
                  </c:pt>
                  <c:pt idx="41">
                    <c:v>12</c:v>
                  </c:pt>
                  <c:pt idx="42">
                    <c:v>22</c:v>
                  </c:pt>
                  <c:pt idx="43">
                    <c:v>13</c:v>
                  </c:pt>
                  <c:pt idx="44">
                    <c:v>23</c:v>
                  </c:pt>
                  <c:pt idx="45">
                    <c:v>14</c:v>
                  </c:pt>
                  <c:pt idx="46">
                    <c:v>24</c:v>
                  </c:pt>
                  <c:pt idx="47">
                    <c:v>15</c:v>
                  </c:pt>
                  <c:pt idx="48">
                    <c:v>25</c:v>
                  </c:pt>
                  <c:pt idx="49">
                    <c:v>16</c:v>
                  </c:pt>
                  <c:pt idx="50">
                    <c:v>26</c:v>
                  </c:pt>
                </c:lvl>
                <c:lvl>
                  <c:pt idx="0">
                    <c:v>1</c:v>
                  </c:pt>
                  <c:pt idx="7">
                    <c:v>2</c:v>
                  </c:pt>
                  <c:pt idx="14">
                    <c:v>3</c:v>
                  </c:pt>
                  <c:pt idx="21">
                    <c:v>4</c:v>
                  </c:pt>
                  <c:pt idx="28">
                    <c:v>5</c:v>
                  </c:pt>
                </c:lvl>
              </c:multiLvlStrCache>
            </c:multiLvlStrRef>
          </c:cat>
          <c:val>
            <c:numRef>
              <c:f>أرقام!$C$46:$BZ$46</c:f>
              <c:numCache>
                <c:formatCode>General</c:formatCode>
                <c:ptCount val="5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63BF-41FB-99A0-3453495F84F5}"/>
            </c:ext>
          </c:extLst>
        </c:ser>
        <c:ser>
          <c:idx val="43"/>
          <c:order val="43"/>
          <c:tx>
            <c:strRef>
              <c:f>أرقام!$A$47:$B$47</c:f>
              <c:strCache>
                <c:ptCount val="2"/>
                <c:pt idx="0">
                  <c:v>خالد الخالدي</c:v>
                </c:pt>
                <c:pt idx="1">
                  <c:v>16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أرقام!$C$2:$BZ$3</c:f>
              <c:multiLvlStrCache>
                <c:ptCount val="5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1">
                    <c:v>5</c:v>
                  </c:pt>
                  <c:pt idx="12">
                    <c:v>6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4</c:v>
                  </c:pt>
                  <c:pt idx="25">
                    <c:v>5</c:v>
                  </c:pt>
                  <c:pt idx="26">
                    <c:v>6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9">
                    <c:v>11</c:v>
                  </c:pt>
                  <c:pt idx="40">
                    <c:v>21</c:v>
                  </c:pt>
                  <c:pt idx="41">
                    <c:v>12</c:v>
                  </c:pt>
                  <c:pt idx="42">
                    <c:v>22</c:v>
                  </c:pt>
                  <c:pt idx="43">
                    <c:v>13</c:v>
                  </c:pt>
                  <c:pt idx="44">
                    <c:v>23</c:v>
                  </c:pt>
                  <c:pt idx="45">
                    <c:v>14</c:v>
                  </c:pt>
                  <c:pt idx="46">
                    <c:v>24</c:v>
                  </c:pt>
                  <c:pt idx="47">
                    <c:v>15</c:v>
                  </c:pt>
                  <c:pt idx="48">
                    <c:v>25</c:v>
                  </c:pt>
                  <c:pt idx="49">
                    <c:v>16</c:v>
                  </c:pt>
                  <c:pt idx="50">
                    <c:v>26</c:v>
                  </c:pt>
                </c:lvl>
                <c:lvl>
                  <c:pt idx="0">
                    <c:v>1</c:v>
                  </c:pt>
                  <c:pt idx="7">
                    <c:v>2</c:v>
                  </c:pt>
                  <c:pt idx="14">
                    <c:v>3</c:v>
                  </c:pt>
                  <c:pt idx="21">
                    <c:v>4</c:v>
                  </c:pt>
                  <c:pt idx="28">
                    <c:v>5</c:v>
                  </c:pt>
                </c:lvl>
              </c:multiLvlStrCache>
            </c:multiLvlStrRef>
          </c:cat>
          <c:val>
            <c:numRef>
              <c:f>أرقام!$C$47:$BZ$47</c:f>
              <c:numCache>
                <c:formatCode>General</c:formatCode>
                <c:ptCount val="5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63BF-41FB-99A0-3453495F84F5}"/>
            </c:ext>
          </c:extLst>
        </c:ser>
        <c:ser>
          <c:idx val="44"/>
          <c:order val="44"/>
          <c:tx>
            <c:strRef>
              <c:f>أرقام!$A$48:$B$48</c:f>
              <c:strCache>
                <c:ptCount val="2"/>
                <c:pt idx="0">
                  <c:v>خالد الخالدي</c:v>
                </c:pt>
                <c:pt idx="1">
                  <c:v>26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أرقام!$C$2:$BZ$3</c:f>
              <c:multiLvlStrCache>
                <c:ptCount val="5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1">
                    <c:v>5</c:v>
                  </c:pt>
                  <c:pt idx="12">
                    <c:v>6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4</c:v>
                  </c:pt>
                  <c:pt idx="25">
                    <c:v>5</c:v>
                  </c:pt>
                  <c:pt idx="26">
                    <c:v>6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9">
                    <c:v>11</c:v>
                  </c:pt>
                  <c:pt idx="40">
                    <c:v>21</c:v>
                  </c:pt>
                  <c:pt idx="41">
                    <c:v>12</c:v>
                  </c:pt>
                  <c:pt idx="42">
                    <c:v>22</c:v>
                  </c:pt>
                  <c:pt idx="43">
                    <c:v>13</c:v>
                  </c:pt>
                  <c:pt idx="44">
                    <c:v>23</c:v>
                  </c:pt>
                  <c:pt idx="45">
                    <c:v>14</c:v>
                  </c:pt>
                  <c:pt idx="46">
                    <c:v>24</c:v>
                  </c:pt>
                  <c:pt idx="47">
                    <c:v>15</c:v>
                  </c:pt>
                  <c:pt idx="48">
                    <c:v>25</c:v>
                  </c:pt>
                  <c:pt idx="49">
                    <c:v>16</c:v>
                  </c:pt>
                  <c:pt idx="50">
                    <c:v>26</c:v>
                  </c:pt>
                </c:lvl>
                <c:lvl>
                  <c:pt idx="0">
                    <c:v>1</c:v>
                  </c:pt>
                  <c:pt idx="7">
                    <c:v>2</c:v>
                  </c:pt>
                  <c:pt idx="14">
                    <c:v>3</c:v>
                  </c:pt>
                  <c:pt idx="21">
                    <c:v>4</c:v>
                  </c:pt>
                  <c:pt idx="28">
                    <c:v>5</c:v>
                  </c:pt>
                </c:lvl>
              </c:multiLvlStrCache>
            </c:multiLvlStrRef>
          </c:cat>
          <c:val>
            <c:numRef>
              <c:f>أرقام!$C$48:$BZ$48</c:f>
              <c:numCache>
                <c:formatCode>General</c:formatCode>
                <c:ptCount val="5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63BF-41FB-99A0-3453495F84F5}"/>
            </c:ext>
          </c:extLst>
        </c:ser>
        <c:ser>
          <c:idx val="45"/>
          <c:order val="45"/>
          <c:tx>
            <c:strRef>
              <c:f>أرقام!$A$49:$B$49</c:f>
              <c:strCache>
                <c:ptCount val="2"/>
                <c:pt idx="0">
                  <c:v>خالد الخالدي</c:v>
                </c:pt>
                <c:pt idx="1">
                  <c:v>26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أرقام!$C$2:$BZ$3</c:f>
              <c:multiLvlStrCache>
                <c:ptCount val="5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1">
                    <c:v>5</c:v>
                  </c:pt>
                  <c:pt idx="12">
                    <c:v>6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4</c:v>
                  </c:pt>
                  <c:pt idx="25">
                    <c:v>5</c:v>
                  </c:pt>
                  <c:pt idx="26">
                    <c:v>6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9">
                    <c:v>11</c:v>
                  </c:pt>
                  <c:pt idx="40">
                    <c:v>21</c:v>
                  </c:pt>
                  <c:pt idx="41">
                    <c:v>12</c:v>
                  </c:pt>
                  <c:pt idx="42">
                    <c:v>22</c:v>
                  </c:pt>
                  <c:pt idx="43">
                    <c:v>13</c:v>
                  </c:pt>
                  <c:pt idx="44">
                    <c:v>23</c:v>
                  </c:pt>
                  <c:pt idx="45">
                    <c:v>14</c:v>
                  </c:pt>
                  <c:pt idx="46">
                    <c:v>24</c:v>
                  </c:pt>
                  <c:pt idx="47">
                    <c:v>15</c:v>
                  </c:pt>
                  <c:pt idx="48">
                    <c:v>25</c:v>
                  </c:pt>
                  <c:pt idx="49">
                    <c:v>16</c:v>
                  </c:pt>
                  <c:pt idx="50">
                    <c:v>26</c:v>
                  </c:pt>
                </c:lvl>
                <c:lvl>
                  <c:pt idx="0">
                    <c:v>1</c:v>
                  </c:pt>
                  <c:pt idx="7">
                    <c:v>2</c:v>
                  </c:pt>
                  <c:pt idx="14">
                    <c:v>3</c:v>
                  </c:pt>
                  <c:pt idx="21">
                    <c:v>4</c:v>
                  </c:pt>
                  <c:pt idx="28">
                    <c:v>5</c:v>
                  </c:pt>
                </c:lvl>
              </c:multiLvlStrCache>
            </c:multiLvlStrRef>
          </c:cat>
          <c:val>
            <c:numRef>
              <c:f>أرقام!$C$49:$BZ$49</c:f>
              <c:numCache>
                <c:formatCode>General</c:formatCode>
                <c:ptCount val="52"/>
                <c:pt idx="0">
                  <c:v>11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11</c:v>
                </c:pt>
                <c:pt idx="26">
                  <c:v>11</c:v>
                </c:pt>
                <c:pt idx="28">
                  <c:v>11</c:v>
                </c:pt>
                <c:pt idx="29">
                  <c:v>11</c:v>
                </c:pt>
                <c:pt idx="30">
                  <c:v>11</c:v>
                </c:pt>
                <c:pt idx="31">
                  <c:v>11</c:v>
                </c:pt>
                <c:pt idx="32">
                  <c:v>11</c:v>
                </c:pt>
                <c:pt idx="33">
                  <c:v>11</c:v>
                </c:pt>
                <c:pt idx="34">
                  <c:v>5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63BF-41FB-99A0-3453495F8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140000"/>
        <c:axId val="555140960"/>
      </c:barChart>
      <c:catAx>
        <c:axId val="55514000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555140960"/>
        <c:crosses val="autoZero"/>
        <c:auto val="1"/>
        <c:lblAlgn val="ctr"/>
        <c:lblOffset val="100"/>
        <c:noMultiLvlLbl val="0"/>
      </c:catAx>
      <c:valAx>
        <c:axId val="55514096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55514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6CC3EAB-3791-4311-A130-ED871CCA3474}">
  <sheetPr/>
  <sheetViews>
    <sheetView zoomScale="8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8595901" cy="12149913"/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01D319D6-2613-40BA-FBE1-090D1D046D9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Y34"/>
  <sheetViews>
    <sheetView rightToLeft="1" tabSelected="1" topLeftCell="B1" workbookViewId="0">
      <selection activeCell="BL38" sqref="BL38"/>
    </sheetView>
  </sheetViews>
  <sheetFormatPr defaultColWidth="8.73046875" defaultRowHeight="18.399999999999999" x14ac:dyDescent="0.45"/>
  <cols>
    <col min="1" max="1" width="2.86328125" style="3" customWidth="1"/>
    <col min="2" max="2" width="8.46484375" style="3" customWidth="1"/>
    <col min="3" max="14" width="2.86328125" style="3" customWidth="1"/>
    <col min="15" max="16" width="3.86328125" style="3" bestFit="1" customWidth="1"/>
    <col min="17" max="17" width="8.73046875" style="3" customWidth="1"/>
    <col min="18" max="18" width="3.73046875" style="3" customWidth="1"/>
    <col min="19" max="19" width="6.46484375" style="3" bestFit="1" customWidth="1"/>
    <col min="20" max="20" width="8.46484375" style="3" customWidth="1"/>
    <col min="21" max="34" width="2.86328125" style="3" customWidth="1"/>
    <col min="35" max="35" width="4.86328125" style="3" customWidth="1"/>
    <col min="36" max="36" width="3.59765625" style="3" customWidth="1"/>
    <col min="37" max="37" width="6.46484375" style="3" bestFit="1" customWidth="1"/>
    <col min="38" max="38" width="8.46484375" style="3" bestFit="1" customWidth="1"/>
    <col min="39" max="43" width="2.86328125" style="3" bestFit="1" customWidth="1"/>
    <col min="44" max="44" width="3.59765625" style="3" customWidth="1"/>
    <col min="45" max="50" width="2.86328125" style="3" customWidth="1"/>
    <col min="51" max="53" width="8.73046875" style="3" customWidth="1"/>
    <col min="54" max="54" width="2.86328125" style="3" customWidth="1"/>
    <col min="55" max="55" width="8.46484375" style="3" customWidth="1"/>
    <col min="56" max="115" width="2.73046875" style="3" customWidth="1"/>
    <col min="116" max="117" width="3.3984375" style="3" customWidth="1"/>
    <col min="118" max="119" width="4" style="3" bestFit="1" customWidth="1"/>
    <col min="120" max="179" width="2.73046875" style="3" customWidth="1"/>
    <col min="180" max="181" width="4" style="3" bestFit="1" customWidth="1"/>
    <col min="182" max="16384" width="8.73046875" style="3"/>
  </cols>
  <sheetData>
    <row r="1" spans="1:181" x14ac:dyDescent="0.45">
      <c r="A1" s="71" t="s">
        <v>28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S1" s="71" t="s">
        <v>29</v>
      </c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K1" s="71" t="s">
        <v>30</v>
      </c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BD1" s="68">
        <v>1</v>
      </c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70"/>
      <c r="BP1" s="68">
        <v>2</v>
      </c>
      <c r="BQ1" s="69"/>
      <c r="BR1" s="69"/>
      <c r="BS1" s="69"/>
      <c r="BT1" s="69"/>
      <c r="BU1" s="69"/>
      <c r="BV1" s="69"/>
      <c r="BW1" s="69"/>
      <c r="BX1" s="69"/>
      <c r="BY1" s="69"/>
      <c r="BZ1" s="69"/>
      <c r="CA1" s="70"/>
      <c r="CB1" s="68">
        <v>3</v>
      </c>
      <c r="CC1" s="69"/>
      <c r="CD1" s="69"/>
      <c r="CE1" s="69"/>
      <c r="CF1" s="69"/>
      <c r="CG1" s="69"/>
      <c r="CH1" s="69"/>
      <c r="CI1" s="69"/>
      <c r="CJ1" s="69"/>
      <c r="CK1" s="69"/>
      <c r="CL1" s="69"/>
      <c r="CM1" s="70"/>
      <c r="CN1" s="68">
        <v>4</v>
      </c>
      <c r="CO1" s="69"/>
      <c r="CP1" s="69"/>
      <c r="CQ1" s="69"/>
      <c r="CR1" s="69"/>
      <c r="CS1" s="69"/>
      <c r="CT1" s="69"/>
      <c r="CU1" s="69"/>
      <c r="CV1" s="69"/>
      <c r="CW1" s="69"/>
      <c r="CX1" s="69"/>
      <c r="CY1" s="70"/>
      <c r="CZ1" s="68">
        <v>5</v>
      </c>
      <c r="DA1" s="69"/>
      <c r="DB1" s="69"/>
      <c r="DC1" s="69"/>
      <c r="DD1" s="69"/>
      <c r="DE1" s="69"/>
      <c r="DF1" s="69"/>
      <c r="DG1" s="69"/>
      <c r="DH1" s="69"/>
      <c r="DI1" s="69"/>
      <c r="DJ1" s="69"/>
      <c r="DK1" s="70"/>
    </row>
    <row r="2" spans="1:181" ht="13.9" customHeight="1" x14ac:dyDescent="0.45">
      <c r="A2" s="8" t="s">
        <v>0</v>
      </c>
      <c r="B2" s="8" t="s">
        <v>26</v>
      </c>
      <c r="C2" s="8">
        <v>11</v>
      </c>
      <c r="D2" s="8">
        <f>C2+10</f>
        <v>21</v>
      </c>
      <c r="E2" s="8">
        <f>C2+1</f>
        <v>12</v>
      </c>
      <c r="F2" s="8">
        <f>E2+10</f>
        <v>22</v>
      </c>
      <c r="G2" s="8">
        <f>E2+1</f>
        <v>13</v>
      </c>
      <c r="H2" s="8">
        <f>G2+10</f>
        <v>23</v>
      </c>
      <c r="I2" s="8">
        <f>G2+1</f>
        <v>14</v>
      </c>
      <c r="J2" s="8">
        <f>I2+10</f>
        <v>24</v>
      </c>
      <c r="K2" s="8">
        <f>I2+1</f>
        <v>15</v>
      </c>
      <c r="L2" s="8">
        <f>K2+10</f>
        <v>25</v>
      </c>
      <c r="M2" s="8">
        <f>K2+1</f>
        <v>16</v>
      </c>
      <c r="N2" s="8">
        <f>M2+10</f>
        <v>26</v>
      </c>
      <c r="O2" s="8" t="s">
        <v>0</v>
      </c>
      <c r="P2" s="8" t="s">
        <v>32</v>
      </c>
      <c r="Q2" s="8"/>
      <c r="S2" s="8" t="s">
        <v>0</v>
      </c>
      <c r="T2" s="8" t="s">
        <v>26</v>
      </c>
      <c r="U2" s="8">
        <v>11</v>
      </c>
      <c r="V2" s="8">
        <f>U2+10</f>
        <v>21</v>
      </c>
      <c r="W2" s="8">
        <f>U2+1</f>
        <v>12</v>
      </c>
      <c r="X2" s="8">
        <f>W2+10</f>
        <v>22</v>
      </c>
      <c r="Y2" s="8">
        <f>W2+1</f>
        <v>13</v>
      </c>
      <c r="Z2" s="8">
        <f>Y2+10</f>
        <v>23</v>
      </c>
      <c r="AA2" s="8">
        <f>Y2+1</f>
        <v>14</v>
      </c>
      <c r="AB2" s="8">
        <f>AA2+10</f>
        <v>24</v>
      </c>
      <c r="AC2" s="8">
        <f>AA2+1</f>
        <v>15</v>
      </c>
      <c r="AD2" s="8">
        <f>AC2+10</f>
        <v>25</v>
      </c>
      <c r="AE2" s="8">
        <f>AC2+1</f>
        <v>16</v>
      </c>
      <c r="AF2" s="8">
        <f>AE2+10</f>
        <v>26</v>
      </c>
      <c r="AG2" s="8" t="s">
        <v>0</v>
      </c>
      <c r="AH2" s="8" t="s">
        <v>32</v>
      </c>
      <c r="AI2" s="8"/>
      <c r="AJ2" s="11"/>
      <c r="AK2" s="8" t="s">
        <v>0</v>
      </c>
      <c r="AL2" s="8" t="s">
        <v>26</v>
      </c>
      <c r="AM2" s="8">
        <v>11</v>
      </c>
      <c r="AN2" s="8">
        <f>AM2+10</f>
        <v>21</v>
      </c>
      <c r="AO2" s="8">
        <f>AM2+1</f>
        <v>12</v>
      </c>
      <c r="AP2" s="8">
        <f>AO2+10</f>
        <v>22</v>
      </c>
      <c r="AQ2" s="8">
        <f>AO2+1</f>
        <v>13</v>
      </c>
      <c r="AR2" s="8">
        <f>AQ2+10</f>
        <v>23</v>
      </c>
      <c r="AS2" s="8">
        <f>AQ2+1</f>
        <v>14</v>
      </c>
      <c r="AT2" s="8">
        <f>AS2+10</f>
        <v>24</v>
      </c>
      <c r="AU2" s="8">
        <f>AS2+1</f>
        <v>15</v>
      </c>
      <c r="AV2" s="8">
        <f>AU2+10</f>
        <v>25</v>
      </c>
      <c r="AW2" s="8">
        <f>AU2+1</f>
        <v>16</v>
      </c>
      <c r="AX2" s="8">
        <f>AW2+10</f>
        <v>26</v>
      </c>
      <c r="AY2" s="8">
        <f>MAX(AY3:AY31)</f>
        <v>20</v>
      </c>
      <c r="BB2" s="3" t="s">
        <v>0</v>
      </c>
      <c r="BC2" s="3" t="s">
        <v>26</v>
      </c>
      <c r="BD2" s="4">
        <v>11</v>
      </c>
      <c r="BE2" s="3">
        <v>21</v>
      </c>
      <c r="BF2" s="3">
        <v>12</v>
      </c>
      <c r="BG2" s="3">
        <v>22</v>
      </c>
      <c r="BH2" s="3">
        <v>13</v>
      </c>
      <c r="BI2" s="3">
        <v>23</v>
      </c>
      <c r="BJ2" s="3">
        <v>14</v>
      </c>
      <c r="BK2" s="3">
        <v>24</v>
      </c>
      <c r="BL2" s="3">
        <v>15</v>
      </c>
      <c r="BM2" s="3">
        <v>25</v>
      </c>
      <c r="BN2" s="3">
        <v>16</v>
      </c>
      <c r="BO2" s="5">
        <v>26</v>
      </c>
      <c r="BP2" s="4">
        <v>11</v>
      </c>
      <c r="BQ2" s="3">
        <v>21</v>
      </c>
      <c r="BR2" s="3">
        <v>12</v>
      </c>
      <c r="BS2" s="3">
        <v>22</v>
      </c>
      <c r="BT2" s="3">
        <v>13</v>
      </c>
      <c r="BU2" s="3">
        <v>23</v>
      </c>
      <c r="BV2" s="3">
        <v>14</v>
      </c>
      <c r="BW2" s="3">
        <v>24</v>
      </c>
      <c r="BX2" s="3">
        <v>15</v>
      </c>
      <c r="BY2" s="3">
        <v>25</v>
      </c>
      <c r="BZ2" s="3">
        <v>16</v>
      </c>
      <c r="CA2" s="5">
        <v>26</v>
      </c>
      <c r="CB2" s="4">
        <v>11</v>
      </c>
      <c r="CC2" s="3">
        <v>21</v>
      </c>
      <c r="CD2" s="3">
        <v>12</v>
      </c>
      <c r="CE2" s="3">
        <v>22</v>
      </c>
      <c r="CF2" s="3">
        <v>13</v>
      </c>
      <c r="CG2" s="3">
        <v>23</v>
      </c>
      <c r="CH2" s="3">
        <v>14</v>
      </c>
      <c r="CI2" s="3">
        <v>24</v>
      </c>
      <c r="CJ2" s="3">
        <v>15</v>
      </c>
      <c r="CK2" s="3">
        <v>25</v>
      </c>
      <c r="CL2" s="3">
        <v>16</v>
      </c>
      <c r="CM2" s="5">
        <v>26</v>
      </c>
      <c r="CN2" s="4">
        <v>11</v>
      </c>
      <c r="CO2" s="3">
        <v>21</v>
      </c>
      <c r="CP2" s="3">
        <v>12</v>
      </c>
      <c r="CQ2" s="3">
        <v>22</v>
      </c>
      <c r="CR2" s="3">
        <v>13</v>
      </c>
      <c r="CS2" s="3">
        <v>23</v>
      </c>
      <c r="CT2" s="3">
        <v>14</v>
      </c>
      <c r="CU2" s="3">
        <v>24</v>
      </c>
      <c r="CV2" s="3">
        <v>15</v>
      </c>
      <c r="CW2" s="3">
        <v>25</v>
      </c>
      <c r="CX2" s="3">
        <v>16</v>
      </c>
      <c r="CY2" s="5">
        <v>26</v>
      </c>
      <c r="CZ2" s="4">
        <v>11</v>
      </c>
      <c r="DA2" s="3">
        <v>21</v>
      </c>
      <c r="DB2" s="3">
        <v>12</v>
      </c>
      <c r="DC2" s="3">
        <v>22</v>
      </c>
      <c r="DD2" s="3">
        <v>13</v>
      </c>
      <c r="DE2" s="3">
        <v>23</v>
      </c>
      <c r="DF2" s="3">
        <v>14</v>
      </c>
      <c r="DG2" s="3">
        <v>24</v>
      </c>
      <c r="DH2" s="3">
        <v>15</v>
      </c>
      <c r="DI2" s="3">
        <v>25</v>
      </c>
      <c r="DJ2" s="3">
        <v>16</v>
      </c>
      <c r="DK2" s="5">
        <v>26</v>
      </c>
      <c r="DP2" s="3">
        <v>1</v>
      </c>
      <c r="DQ2" s="3">
        <f>DP2+1</f>
        <v>2</v>
      </c>
      <c r="DR2" s="3">
        <f>DQ2+1</f>
        <v>3</v>
      </c>
      <c r="DS2" s="3">
        <f t="shared" ref="DS2:FA2" si="0">DR2+1</f>
        <v>4</v>
      </c>
      <c r="DT2" s="3">
        <f t="shared" si="0"/>
        <v>5</v>
      </c>
      <c r="DU2" s="3">
        <f t="shared" si="0"/>
        <v>6</v>
      </c>
      <c r="DV2" s="3">
        <f t="shared" si="0"/>
        <v>7</v>
      </c>
      <c r="DW2" s="3">
        <f t="shared" si="0"/>
        <v>8</v>
      </c>
      <c r="DX2" s="3">
        <f t="shared" si="0"/>
        <v>9</v>
      </c>
      <c r="DY2" s="3">
        <f t="shared" si="0"/>
        <v>10</v>
      </c>
      <c r="DZ2" s="3">
        <f t="shared" si="0"/>
        <v>11</v>
      </c>
      <c r="EA2" s="3">
        <f t="shared" si="0"/>
        <v>12</v>
      </c>
      <c r="EB2" s="3">
        <f t="shared" si="0"/>
        <v>13</v>
      </c>
      <c r="EC2" s="3">
        <f t="shared" si="0"/>
        <v>14</v>
      </c>
      <c r="ED2" s="3">
        <f t="shared" si="0"/>
        <v>15</v>
      </c>
      <c r="EE2" s="3">
        <f t="shared" si="0"/>
        <v>16</v>
      </c>
      <c r="EF2" s="3">
        <f t="shared" si="0"/>
        <v>17</v>
      </c>
      <c r="EG2" s="3">
        <f t="shared" si="0"/>
        <v>18</v>
      </c>
      <c r="EH2" s="3">
        <f t="shared" si="0"/>
        <v>19</v>
      </c>
      <c r="EI2" s="3">
        <f t="shared" si="0"/>
        <v>20</v>
      </c>
      <c r="EJ2" s="3">
        <f t="shared" si="0"/>
        <v>21</v>
      </c>
      <c r="EK2" s="3">
        <f t="shared" si="0"/>
        <v>22</v>
      </c>
      <c r="EL2" s="3">
        <f t="shared" si="0"/>
        <v>23</v>
      </c>
      <c r="EM2" s="3">
        <f t="shared" si="0"/>
        <v>24</v>
      </c>
      <c r="EN2" s="3">
        <f t="shared" si="0"/>
        <v>25</v>
      </c>
      <c r="EO2" s="3">
        <f t="shared" si="0"/>
        <v>26</v>
      </c>
      <c r="EP2" s="3">
        <f t="shared" si="0"/>
        <v>27</v>
      </c>
      <c r="EQ2" s="3">
        <f t="shared" si="0"/>
        <v>28</v>
      </c>
      <c r="ER2" s="3">
        <f t="shared" si="0"/>
        <v>29</v>
      </c>
      <c r="ES2" s="3">
        <f t="shared" si="0"/>
        <v>30</v>
      </c>
      <c r="ET2" s="3">
        <f t="shared" si="0"/>
        <v>31</v>
      </c>
      <c r="EU2" s="3">
        <f t="shared" si="0"/>
        <v>32</v>
      </c>
      <c r="EV2" s="3">
        <f t="shared" si="0"/>
        <v>33</v>
      </c>
      <c r="EW2" s="3">
        <f t="shared" si="0"/>
        <v>34</v>
      </c>
      <c r="EX2" s="3">
        <f t="shared" si="0"/>
        <v>35</v>
      </c>
      <c r="EY2" s="3">
        <f t="shared" si="0"/>
        <v>36</v>
      </c>
      <c r="EZ2" s="3">
        <f t="shared" si="0"/>
        <v>37</v>
      </c>
      <c r="FA2" s="3">
        <f t="shared" si="0"/>
        <v>38</v>
      </c>
      <c r="FB2" s="3">
        <f>FA2+1</f>
        <v>39</v>
      </c>
      <c r="FC2" s="3">
        <f t="shared" ref="FC2:FT2" si="1">FB2+1</f>
        <v>40</v>
      </c>
      <c r="FD2" s="3">
        <f t="shared" si="1"/>
        <v>41</v>
      </c>
      <c r="FE2" s="3">
        <f t="shared" si="1"/>
        <v>42</v>
      </c>
      <c r="FF2" s="3">
        <f t="shared" si="1"/>
        <v>43</v>
      </c>
      <c r="FG2" s="3">
        <f t="shared" si="1"/>
        <v>44</v>
      </c>
      <c r="FH2" s="3">
        <f t="shared" si="1"/>
        <v>45</v>
      </c>
      <c r="FI2" s="3">
        <f t="shared" si="1"/>
        <v>46</v>
      </c>
      <c r="FJ2" s="3">
        <f t="shared" si="1"/>
        <v>47</v>
      </c>
      <c r="FK2" s="3">
        <f t="shared" si="1"/>
        <v>48</v>
      </c>
      <c r="FL2" s="3">
        <f t="shared" si="1"/>
        <v>49</v>
      </c>
      <c r="FM2" s="3">
        <f t="shared" si="1"/>
        <v>50</v>
      </c>
      <c r="FN2" s="3">
        <f t="shared" si="1"/>
        <v>51</v>
      </c>
      <c r="FO2" s="3">
        <f t="shared" si="1"/>
        <v>52</v>
      </c>
      <c r="FP2" s="3">
        <f t="shared" si="1"/>
        <v>53</v>
      </c>
      <c r="FQ2" s="3">
        <f t="shared" si="1"/>
        <v>54</v>
      </c>
      <c r="FR2" s="3">
        <f t="shared" si="1"/>
        <v>55</v>
      </c>
      <c r="FS2" s="3">
        <f t="shared" si="1"/>
        <v>56</v>
      </c>
      <c r="FT2" s="3">
        <f t="shared" si="1"/>
        <v>57</v>
      </c>
      <c r="FU2" s="3">
        <f>FT2+1</f>
        <v>58</v>
      </c>
      <c r="FV2" s="3">
        <f>FU2+1</f>
        <v>59</v>
      </c>
      <c r="FW2" s="3">
        <f>FV2+1</f>
        <v>60</v>
      </c>
    </row>
    <row r="3" spans="1:181" ht="13.9" customHeight="1" x14ac:dyDescent="0.45">
      <c r="A3" s="8">
        <v>1</v>
      </c>
      <c r="B3" s="8" t="s">
        <v>1</v>
      </c>
      <c r="C3" s="8"/>
      <c r="D3" s="8"/>
      <c r="E3" s="8"/>
      <c r="F3" s="8"/>
      <c r="G3" s="8">
        <v>6</v>
      </c>
      <c r="H3" s="8">
        <v>6</v>
      </c>
      <c r="I3" s="8"/>
      <c r="J3" s="8"/>
      <c r="K3" s="8"/>
      <c r="L3" s="8"/>
      <c r="M3" s="8"/>
      <c r="N3" s="8"/>
      <c r="O3" s="8">
        <f>SUM(C3:H3)</f>
        <v>12</v>
      </c>
      <c r="P3" s="8">
        <f>SUM(I3:N3)</f>
        <v>0</v>
      </c>
      <c r="Q3" s="8">
        <f t="shared" ref="Q3:Q15" si="2">SUM(C3:N3)</f>
        <v>12</v>
      </c>
      <c r="S3" s="8">
        <v>1</v>
      </c>
      <c r="T3" s="8" t="str">
        <f t="shared" ref="T3:T16" si="3">B3</f>
        <v>علي حسين</v>
      </c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>
        <f t="shared" ref="AG3:AG14" si="4">SUM(U3:Z3)</f>
        <v>0</v>
      </c>
      <c r="AH3" s="8">
        <f t="shared" ref="AH3:AH15" si="5">SUM(AA3:AF3)</f>
        <v>0</v>
      </c>
      <c r="AI3" s="8">
        <f>AH3+AG3</f>
        <v>0</v>
      </c>
      <c r="AJ3" s="11">
        <v>0</v>
      </c>
      <c r="AK3" s="8">
        <v>1</v>
      </c>
      <c r="AL3" s="8" t="str">
        <f t="shared" ref="AL3:AL15" si="6">B3</f>
        <v>علي حسين</v>
      </c>
      <c r="AM3" s="8">
        <f t="shared" ref="AM3:AX3" si="7">C3-U3</f>
        <v>0</v>
      </c>
      <c r="AN3" s="8">
        <f t="shared" si="7"/>
        <v>0</v>
      </c>
      <c r="AO3" s="8">
        <f t="shared" si="7"/>
        <v>0</v>
      </c>
      <c r="AP3" s="8">
        <f t="shared" si="7"/>
        <v>0</v>
      </c>
      <c r="AQ3" s="8">
        <f t="shared" si="7"/>
        <v>6</v>
      </c>
      <c r="AR3" s="8">
        <f t="shared" si="7"/>
        <v>6</v>
      </c>
      <c r="AS3" s="8">
        <f t="shared" si="7"/>
        <v>0</v>
      </c>
      <c r="AT3" s="8">
        <f t="shared" si="7"/>
        <v>0</v>
      </c>
      <c r="AU3" s="8">
        <f t="shared" si="7"/>
        <v>0</v>
      </c>
      <c r="AV3" s="8">
        <f t="shared" si="7"/>
        <v>0</v>
      </c>
      <c r="AW3" s="8">
        <f t="shared" si="7"/>
        <v>0</v>
      </c>
      <c r="AX3" s="8">
        <f t="shared" si="7"/>
        <v>0</v>
      </c>
      <c r="AY3" s="8">
        <f>SUM(AM3:AX3)</f>
        <v>12</v>
      </c>
      <c r="AZ3" s="3">
        <f>AX3*$AX$2+AW3*$AW$2+AV3*$AV$2+AU3*$AU$2+AT3*$AT$2+AS3*$AS$2+AR3*$AR$2+AQ3*$AQ$2+AP3*$AP$2+AO3*$AO$2+AN3*$AN$2+AM3*$AM$2</f>
        <v>216</v>
      </c>
      <c r="BB3" s="3">
        <v>1</v>
      </c>
      <c r="BC3" s="3" t="s">
        <v>1</v>
      </c>
      <c r="BD3" s="4"/>
      <c r="BO3" s="5"/>
      <c r="BP3" s="4"/>
      <c r="CA3" s="5"/>
      <c r="CB3" s="4"/>
      <c r="CM3" s="5"/>
      <c r="CN3" s="4"/>
      <c r="CY3" s="5"/>
      <c r="CZ3" s="4"/>
      <c r="DK3" s="5"/>
      <c r="DL3" s="3">
        <f>SUM(BD3:DK3)</f>
        <v>0</v>
      </c>
      <c r="DM3" s="3">
        <v>2</v>
      </c>
      <c r="DN3" s="3">
        <f>DM3-DL3</f>
        <v>2</v>
      </c>
      <c r="DO3" s="10">
        <f>SUM(DP3:FW3)</f>
        <v>0</v>
      </c>
      <c r="DP3" s="3">
        <f>BD3*11</f>
        <v>0</v>
      </c>
      <c r="DQ3" s="3">
        <f>BE3*21</f>
        <v>0</v>
      </c>
      <c r="DR3" s="3">
        <f>BF3*12</f>
        <v>0</v>
      </c>
      <c r="DS3" s="3">
        <f>BG3*22</f>
        <v>0</v>
      </c>
      <c r="DT3" s="3">
        <f>BH3*13</f>
        <v>0</v>
      </c>
      <c r="DU3" s="3">
        <f>BI3*23</f>
        <v>0</v>
      </c>
      <c r="DV3" s="3">
        <f>BJ3*14</f>
        <v>0</v>
      </c>
      <c r="DW3" s="3">
        <f>BK3*24</f>
        <v>0</v>
      </c>
      <c r="DX3" s="3">
        <f>BL3*15</f>
        <v>0</v>
      </c>
      <c r="DY3" s="3">
        <f>BM3*25</f>
        <v>0</v>
      </c>
      <c r="DZ3" s="3">
        <f>BN3*16</f>
        <v>0</v>
      </c>
      <c r="EA3" s="3">
        <f>BO3*26</f>
        <v>0</v>
      </c>
      <c r="EB3" s="3">
        <f>BP3*11</f>
        <v>0</v>
      </c>
      <c r="EC3" s="3">
        <f>BQ3*21</f>
        <v>0</v>
      </c>
      <c r="ED3" s="3">
        <f>BR3*12</f>
        <v>0</v>
      </c>
      <c r="EE3" s="3">
        <f>BS3*22</f>
        <v>0</v>
      </c>
      <c r="EF3" s="3">
        <f>BT3*13</f>
        <v>0</v>
      </c>
      <c r="EG3" s="3">
        <f>BU3*23</f>
        <v>0</v>
      </c>
      <c r="EH3" s="3">
        <f>BV3*14</f>
        <v>0</v>
      </c>
      <c r="EI3" s="3">
        <f>BW3*24</f>
        <v>0</v>
      </c>
      <c r="EJ3" s="3">
        <f>BX3*15</f>
        <v>0</v>
      </c>
      <c r="EK3" s="3">
        <f>BY3*25</f>
        <v>0</v>
      </c>
      <c r="EL3" s="3">
        <f>BZ3*16</f>
        <v>0</v>
      </c>
      <c r="EM3" s="3">
        <f>CA3*26</f>
        <v>0</v>
      </c>
      <c r="EN3" s="3">
        <f>CB3*11</f>
        <v>0</v>
      </c>
      <c r="EO3" s="3">
        <f>CC3*21</f>
        <v>0</v>
      </c>
      <c r="EP3" s="3">
        <f>CD3*12</f>
        <v>0</v>
      </c>
      <c r="EQ3" s="3">
        <f>CE3*22</f>
        <v>0</v>
      </c>
      <c r="ER3" s="3">
        <f>CF3*13</f>
        <v>0</v>
      </c>
      <c r="ES3" s="3">
        <f>CG3*23</f>
        <v>0</v>
      </c>
      <c r="ET3" s="3">
        <f>CH3*14</f>
        <v>0</v>
      </c>
      <c r="EU3" s="3">
        <f>CI3*24</f>
        <v>0</v>
      </c>
      <c r="EV3" s="3">
        <f>CJ3*15</f>
        <v>0</v>
      </c>
      <c r="EW3" s="3">
        <f>CK3*25</f>
        <v>0</v>
      </c>
      <c r="EX3" s="3">
        <f>CL3*16</f>
        <v>0</v>
      </c>
      <c r="EY3" s="3">
        <f>CM3*26</f>
        <v>0</v>
      </c>
      <c r="EZ3" s="3">
        <f>CN3*11</f>
        <v>0</v>
      </c>
      <c r="FA3" s="3">
        <f>CO3*21</f>
        <v>0</v>
      </c>
      <c r="FB3" s="3">
        <f>CP3*12</f>
        <v>0</v>
      </c>
      <c r="FC3" s="3">
        <f>CQ3*22</f>
        <v>0</v>
      </c>
      <c r="FD3" s="3">
        <f>CR3*13</f>
        <v>0</v>
      </c>
      <c r="FE3" s="3">
        <f>CS3*23</f>
        <v>0</v>
      </c>
      <c r="FF3" s="3">
        <f>CT3*14</f>
        <v>0</v>
      </c>
      <c r="FG3" s="3">
        <f>CU3*24</f>
        <v>0</v>
      </c>
      <c r="FH3" s="3">
        <f>CV3*15</f>
        <v>0</v>
      </c>
      <c r="FI3" s="3">
        <f>CW3*25</f>
        <v>0</v>
      </c>
      <c r="FJ3" s="3">
        <f>CX3*16</f>
        <v>0</v>
      </c>
      <c r="FK3" s="3">
        <f>CY3*26</f>
        <v>0</v>
      </c>
      <c r="FL3" s="3">
        <f>CZ3*11</f>
        <v>0</v>
      </c>
      <c r="FM3" s="3">
        <f>DA3*21</f>
        <v>0</v>
      </c>
      <c r="FN3" s="3">
        <f>DB3*12</f>
        <v>0</v>
      </c>
      <c r="FO3" s="3">
        <f>DC3*22</f>
        <v>0</v>
      </c>
      <c r="FP3" s="3">
        <f>DD3*13</f>
        <v>0</v>
      </c>
      <c r="FQ3" s="3">
        <f>DE3*23</f>
        <v>0</v>
      </c>
      <c r="FR3" s="3">
        <f>DF3*14</f>
        <v>0</v>
      </c>
      <c r="FS3" s="3">
        <f>DG3*24</f>
        <v>0</v>
      </c>
      <c r="FT3" s="3">
        <f>DH3*15</f>
        <v>0</v>
      </c>
      <c r="FU3" s="3">
        <f>DI3*25</f>
        <v>0</v>
      </c>
      <c r="FV3" s="3">
        <f>DJ3*16</f>
        <v>0</v>
      </c>
      <c r="FW3" s="3">
        <f>DK3*26</f>
        <v>0</v>
      </c>
      <c r="FX3" s="3" t="e">
        <f>#REF!</f>
        <v>#REF!</v>
      </c>
      <c r="FY3" s="3" t="e">
        <f>FX3-DO3</f>
        <v>#REF!</v>
      </c>
    </row>
    <row r="4" spans="1:181" ht="13.9" customHeight="1" x14ac:dyDescent="0.45">
      <c r="A4" s="8">
        <f t="shared" ref="A4:A31" si="8">A3+1</f>
        <v>2</v>
      </c>
      <c r="B4" s="8" t="s">
        <v>2</v>
      </c>
      <c r="C4" s="8">
        <v>7</v>
      </c>
      <c r="D4" s="8"/>
      <c r="E4" s="8">
        <v>2</v>
      </c>
      <c r="F4" s="8">
        <v>2</v>
      </c>
      <c r="G4" s="8"/>
      <c r="H4" s="8"/>
      <c r="I4" s="8"/>
      <c r="J4" s="8"/>
      <c r="K4" s="8"/>
      <c r="L4" s="8"/>
      <c r="M4" s="8"/>
      <c r="N4" s="8"/>
      <c r="O4" s="8">
        <f t="shared" ref="O4:O31" si="9">SUM(C4:H4)</f>
        <v>11</v>
      </c>
      <c r="P4" s="8">
        <f t="shared" ref="P4:P31" si="10">SUM(I4:N4)</f>
        <v>0</v>
      </c>
      <c r="Q4" s="8">
        <f t="shared" si="2"/>
        <v>11</v>
      </c>
      <c r="S4" s="8">
        <f>S3+1</f>
        <v>2</v>
      </c>
      <c r="T4" s="8" t="str">
        <f t="shared" si="3"/>
        <v>خالد جابر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>
        <f t="shared" si="4"/>
        <v>0</v>
      </c>
      <c r="AH4" s="8">
        <f t="shared" si="5"/>
        <v>0</v>
      </c>
      <c r="AI4" s="8">
        <f t="shared" ref="AI4:AI32" si="11">AH4+AG4</f>
        <v>0</v>
      </c>
      <c r="AJ4" s="11">
        <v>5</v>
      </c>
      <c r="AK4" s="8">
        <f>AK3+1</f>
        <v>2</v>
      </c>
      <c r="AL4" s="8" t="str">
        <f t="shared" si="6"/>
        <v>خالد جابر</v>
      </c>
      <c r="AM4" s="8">
        <f t="shared" ref="AM4:AM15" si="12">C4-U4</f>
        <v>7</v>
      </c>
      <c r="AN4" s="8">
        <f t="shared" ref="AN4:AN15" si="13">D4-V4</f>
        <v>0</v>
      </c>
      <c r="AO4" s="8">
        <f t="shared" ref="AO4:AO15" si="14">E4-W4</f>
        <v>2</v>
      </c>
      <c r="AP4" s="8">
        <f t="shared" ref="AP4:AP15" si="15">F4-X4</f>
        <v>2</v>
      </c>
      <c r="AQ4" s="8">
        <f t="shared" ref="AQ4:AQ15" si="16">G4-Y4</f>
        <v>0</v>
      </c>
      <c r="AR4" s="8">
        <f t="shared" ref="AR4:AR15" si="17">H4-Z4</f>
        <v>0</v>
      </c>
      <c r="AS4" s="8">
        <f t="shared" ref="AS4:AS15" si="18">I4-AA4</f>
        <v>0</v>
      </c>
      <c r="AT4" s="8">
        <f t="shared" ref="AT4:AT15" si="19">J4-AB4</f>
        <v>0</v>
      </c>
      <c r="AU4" s="8">
        <f t="shared" ref="AU4:AU32" si="20">K4-AC4</f>
        <v>0</v>
      </c>
      <c r="AV4" s="8">
        <f t="shared" ref="AV4:AV32" si="21">L4-AD4</f>
        <v>0</v>
      </c>
      <c r="AW4" s="8">
        <f t="shared" ref="AW4:AW32" si="22">M4-AE4</f>
        <v>0</v>
      </c>
      <c r="AX4" s="8">
        <f t="shared" ref="AX4:AX32" si="23">N4-AF4</f>
        <v>0</v>
      </c>
      <c r="AY4" s="8">
        <f t="shared" ref="AY4:AY15" si="24">SUM(AM4:AX4)</f>
        <v>11</v>
      </c>
      <c r="AZ4" s="3">
        <f t="shared" ref="AZ4:AZ15" si="25">AX4*$AX$2+AW4*$AW$2+AV4*$AV$2+AU4*$AU$2+AT4*$AT$2+AS4*$AS$2+AR4*$AR$2+AQ4*$AQ$2+AP4*$AP$2+AO4*$AO$2+AN4*$AN$2+AM4*$AM$2</f>
        <v>145</v>
      </c>
      <c r="BB4" s="3">
        <v>2</v>
      </c>
      <c r="BC4" s="3" t="s">
        <v>2</v>
      </c>
      <c r="BD4" s="4"/>
      <c r="BO4" s="5"/>
      <c r="BP4" s="4"/>
      <c r="CA4" s="5"/>
      <c r="CB4" s="4"/>
      <c r="CM4" s="5"/>
      <c r="CN4" s="4"/>
      <c r="CY4" s="5"/>
      <c r="CZ4" s="4"/>
      <c r="DK4" s="5"/>
      <c r="DL4" s="3">
        <f t="shared" ref="DL4:DL30" si="26">SUM(BD4:DK4)</f>
        <v>0</v>
      </c>
      <c r="DM4" s="3">
        <v>17</v>
      </c>
      <c r="DN4" s="3">
        <f t="shared" ref="DN4:DN30" si="27">DM4-DL4</f>
        <v>17</v>
      </c>
      <c r="DO4" s="10">
        <f t="shared" ref="DO4:DO30" si="28">SUM(DP4:FW4)</f>
        <v>0</v>
      </c>
      <c r="DP4" s="3">
        <f t="shared" ref="DP4:DP30" si="29">BD4*11</f>
        <v>0</v>
      </c>
      <c r="DQ4" s="3">
        <f t="shared" ref="DQ4:DQ30" si="30">BE4*21</f>
        <v>0</v>
      </c>
      <c r="DR4" s="3">
        <f t="shared" ref="DR4:DR30" si="31">BF4*12</f>
        <v>0</v>
      </c>
      <c r="DS4" s="3">
        <f t="shared" ref="DS4:DS30" si="32">BG4*22</f>
        <v>0</v>
      </c>
      <c r="DT4" s="3">
        <f t="shared" ref="DT4:DT30" si="33">BH4*13</f>
        <v>0</v>
      </c>
      <c r="DU4" s="3">
        <f t="shared" ref="DU4:DU30" si="34">BI4*23</f>
        <v>0</v>
      </c>
      <c r="DV4" s="3">
        <f t="shared" ref="DV4:DV30" si="35">BJ4*14</f>
        <v>0</v>
      </c>
      <c r="DW4" s="3">
        <f t="shared" ref="DW4:DW30" si="36">BK4*24</f>
        <v>0</v>
      </c>
      <c r="DX4" s="3">
        <f t="shared" ref="DX4:DX30" si="37">BL4*15</f>
        <v>0</v>
      </c>
      <c r="DY4" s="3">
        <f t="shared" ref="DY4:DY30" si="38">BM4*25</f>
        <v>0</v>
      </c>
      <c r="DZ4" s="3">
        <f t="shared" ref="DZ4:DZ30" si="39">BN4*16</f>
        <v>0</v>
      </c>
      <c r="EA4" s="3">
        <f t="shared" ref="EA4:EA30" si="40">BO4*26</f>
        <v>0</v>
      </c>
      <c r="EB4" s="3">
        <f t="shared" ref="EB4:EB30" si="41">BP4*11</f>
        <v>0</v>
      </c>
      <c r="EC4" s="3">
        <f t="shared" ref="EC4:EC30" si="42">BQ4*21</f>
        <v>0</v>
      </c>
      <c r="ED4" s="3">
        <f t="shared" ref="ED4:ED30" si="43">BR4*12</f>
        <v>0</v>
      </c>
      <c r="EE4" s="3">
        <f t="shared" ref="EE4:EE30" si="44">BS4*22</f>
        <v>0</v>
      </c>
      <c r="EF4" s="3">
        <f t="shared" ref="EF4:EF30" si="45">BT4*13</f>
        <v>0</v>
      </c>
      <c r="EG4" s="3">
        <f t="shared" ref="EG4:EG30" si="46">BU4*23</f>
        <v>0</v>
      </c>
      <c r="EH4" s="3">
        <f t="shared" ref="EH4:EH30" si="47">BV4*14</f>
        <v>0</v>
      </c>
      <c r="EI4" s="3">
        <f t="shared" ref="EI4:EI30" si="48">BW4*24</f>
        <v>0</v>
      </c>
      <c r="EJ4" s="3">
        <f t="shared" ref="EJ4:EJ30" si="49">BX4*15</f>
        <v>0</v>
      </c>
      <c r="EK4" s="3">
        <f t="shared" ref="EK4:EK30" si="50">BY4*25</f>
        <v>0</v>
      </c>
      <c r="EL4" s="3">
        <f t="shared" ref="EL4:EL30" si="51">BZ4*16</f>
        <v>0</v>
      </c>
      <c r="EM4" s="3">
        <f t="shared" ref="EM4:EM30" si="52">CA4*26</f>
        <v>0</v>
      </c>
      <c r="EN4" s="3">
        <f t="shared" ref="EN4:EN30" si="53">CB4*11</f>
        <v>0</v>
      </c>
      <c r="EO4" s="3">
        <f t="shared" ref="EO4:EO30" si="54">CC4*21</f>
        <v>0</v>
      </c>
      <c r="EP4" s="3">
        <f t="shared" ref="EP4:EP30" si="55">CD4*12</f>
        <v>0</v>
      </c>
      <c r="EQ4" s="3">
        <f t="shared" ref="EQ4:EQ30" si="56">CE4*22</f>
        <v>0</v>
      </c>
      <c r="ER4" s="3">
        <f t="shared" ref="ER4:ER30" si="57">CF4*13</f>
        <v>0</v>
      </c>
      <c r="ES4" s="3">
        <f t="shared" ref="ES4:ES30" si="58">CG4*23</f>
        <v>0</v>
      </c>
      <c r="ET4" s="3">
        <f t="shared" ref="ET4:ET30" si="59">CH4*14</f>
        <v>0</v>
      </c>
      <c r="EU4" s="3">
        <f t="shared" ref="EU4:EU30" si="60">CI4*24</f>
        <v>0</v>
      </c>
      <c r="EV4" s="3">
        <f t="shared" ref="EV4:EV30" si="61">CJ4*15</f>
        <v>0</v>
      </c>
      <c r="EW4" s="3">
        <f t="shared" ref="EW4:EW30" si="62">CK4*25</f>
        <v>0</v>
      </c>
      <c r="EX4" s="3">
        <f t="shared" ref="EX4:EX30" si="63">CL4*16</f>
        <v>0</v>
      </c>
      <c r="EY4" s="3">
        <f t="shared" ref="EY4:EY30" si="64">CM4*26</f>
        <v>0</v>
      </c>
      <c r="EZ4" s="3">
        <f t="shared" ref="EZ4:EZ30" si="65">CN4*11</f>
        <v>0</v>
      </c>
      <c r="FA4" s="3">
        <f t="shared" ref="FA4:FA30" si="66">CO4*21</f>
        <v>0</v>
      </c>
      <c r="FB4" s="3">
        <f t="shared" ref="FB4:FB30" si="67">CP4*12</f>
        <v>0</v>
      </c>
      <c r="FC4" s="3">
        <f t="shared" ref="FC4:FC30" si="68">CQ4*22</f>
        <v>0</v>
      </c>
      <c r="FD4" s="3">
        <f t="shared" ref="FD4:FD30" si="69">CR4*13</f>
        <v>0</v>
      </c>
      <c r="FE4" s="3">
        <f t="shared" ref="FE4:FE30" si="70">CS4*23</f>
        <v>0</v>
      </c>
      <c r="FF4" s="3">
        <f t="shared" ref="FF4:FF30" si="71">CT4*14</f>
        <v>0</v>
      </c>
      <c r="FG4" s="3">
        <f t="shared" ref="FG4:FG30" si="72">CU4*24</f>
        <v>0</v>
      </c>
      <c r="FH4" s="3">
        <f t="shared" ref="FH4:FH30" si="73">CV4*15</f>
        <v>0</v>
      </c>
      <c r="FI4" s="3">
        <f t="shared" ref="FI4:FI30" si="74">CW4*25</f>
        <v>0</v>
      </c>
      <c r="FJ4" s="3">
        <f t="shared" ref="FJ4:FJ30" si="75">CX4*16</f>
        <v>0</v>
      </c>
      <c r="FK4" s="3">
        <f t="shared" ref="FK4:FK30" si="76">CY4*26</f>
        <v>0</v>
      </c>
      <c r="FL4" s="3">
        <f t="shared" ref="FL4:FL30" si="77">CZ4*11</f>
        <v>0</v>
      </c>
      <c r="FM4" s="3">
        <f t="shared" ref="FM4:FM30" si="78">DA4*21</f>
        <v>0</v>
      </c>
      <c r="FN4" s="3">
        <f t="shared" ref="FN4:FN30" si="79">DB4*12</f>
        <v>0</v>
      </c>
      <c r="FO4" s="3">
        <f t="shared" ref="FO4:FO30" si="80">DC4*22</f>
        <v>0</v>
      </c>
      <c r="FP4" s="3">
        <f t="shared" ref="FP4:FP30" si="81">DD4*13</f>
        <v>0</v>
      </c>
      <c r="FQ4" s="3">
        <f t="shared" ref="FQ4:FQ30" si="82">DE4*23</f>
        <v>0</v>
      </c>
      <c r="FR4" s="3">
        <f t="shared" ref="FR4:FR30" si="83">DF4*14</f>
        <v>0</v>
      </c>
      <c r="FS4" s="3">
        <f t="shared" ref="FS4:FS30" si="84">DG4*24</f>
        <v>0</v>
      </c>
      <c r="FT4" s="3">
        <f t="shared" ref="FT4:FT30" si="85">DH4*15</f>
        <v>0</v>
      </c>
      <c r="FU4" s="3">
        <f t="shared" ref="FU4:FU30" si="86">DI4*25</f>
        <v>0</v>
      </c>
      <c r="FV4" s="3">
        <f t="shared" ref="FV4:FV30" si="87">DJ4*16</f>
        <v>0</v>
      </c>
      <c r="FW4" s="3">
        <f t="shared" ref="FW4:FW30" si="88">DK4*26</f>
        <v>0</v>
      </c>
      <c r="FX4" s="3" t="e">
        <f>#REF!</f>
        <v>#REF!</v>
      </c>
      <c r="FY4" s="3" t="e">
        <f t="shared" ref="FY4:FY30" si="89">FX4-DO4</f>
        <v>#REF!</v>
      </c>
    </row>
    <row r="5" spans="1:181" ht="13.9" customHeight="1" x14ac:dyDescent="0.45">
      <c r="A5" s="8">
        <f t="shared" si="8"/>
        <v>3</v>
      </c>
      <c r="B5" s="8" t="s">
        <v>10</v>
      </c>
      <c r="C5" s="8"/>
      <c r="D5" s="8"/>
      <c r="E5" s="8">
        <v>5</v>
      </c>
      <c r="F5" s="8">
        <v>5</v>
      </c>
      <c r="G5" s="8"/>
      <c r="H5" s="8"/>
      <c r="I5" s="8"/>
      <c r="J5" s="8"/>
      <c r="K5" s="8"/>
      <c r="L5" s="8"/>
      <c r="M5" s="8">
        <v>2</v>
      </c>
      <c r="N5" s="8">
        <v>2</v>
      </c>
      <c r="O5" s="8">
        <f t="shared" si="9"/>
        <v>10</v>
      </c>
      <c r="P5" s="8">
        <f t="shared" si="10"/>
        <v>4</v>
      </c>
      <c r="Q5" s="8">
        <f t="shared" si="2"/>
        <v>14</v>
      </c>
      <c r="S5" s="8">
        <f t="shared" ref="S5:S31" si="90">S4+1</f>
        <v>3</v>
      </c>
      <c r="T5" s="8" t="str">
        <f t="shared" si="3"/>
        <v>فرحان علي</v>
      </c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>
        <f t="shared" si="4"/>
        <v>0</v>
      </c>
      <c r="AH5" s="8">
        <f t="shared" si="5"/>
        <v>0</v>
      </c>
      <c r="AI5" s="8">
        <f t="shared" si="11"/>
        <v>0</v>
      </c>
      <c r="AJ5" s="11">
        <v>3</v>
      </c>
      <c r="AK5" s="8">
        <f t="shared" ref="AK5:AK31" si="91">AK4+1</f>
        <v>3</v>
      </c>
      <c r="AL5" s="8" t="str">
        <f t="shared" si="6"/>
        <v>فرحان علي</v>
      </c>
      <c r="AM5" s="8">
        <f t="shared" si="12"/>
        <v>0</v>
      </c>
      <c r="AN5" s="8">
        <f t="shared" si="13"/>
        <v>0</v>
      </c>
      <c r="AO5" s="8">
        <f t="shared" si="14"/>
        <v>5</v>
      </c>
      <c r="AP5" s="8">
        <f t="shared" si="15"/>
        <v>5</v>
      </c>
      <c r="AQ5" s="8">
        <f t="shared" si="16"/>
        <v>0</v>
      </c>
      <c r="AR5" s="8">
        <f t="shared" si="17"/>
        <v>0</v>
      </c>
      <c r="AS5" s="8">
        <f t="shared" si="18"/>
        <v>0</v>
      </c>
      <c r="AT5" s="8">
        <f t="shared" si="19"/>
        <v>0</v>
      </c>
      <c r="AU5" s="8">
        <f t="shared" si="20"/>
        <v>0</v>
      </c>
      <c r="AV5" s="8">
        <f t="shared" si="21"/>
        <v>0</v>
      </c>
      <c r="AW5" s="8">
        <f t="shared" si="22"/>
        <v>2</v>
      </c>
      <c r="AX5" s="8">
        <f t="shared" si="23"/>
        <v>2</v>
      </c>
      <c r="AY5" s="8">
        <f t="shared" si="24"/>
        <v>14</v>
      </c>
      <c r="AZ5" s="3">
        <f t="shared" si="25"/>
        <v>254</v>
      </c>
      <c r="BB5" s="3">
        <v>3</v>
      </c>
      <c r="BC5" s="3" t="s">
        <v>3</v>
      </c>
      <c r="BD5" s="4"/>
      <c r="BO5" s="5"/>
      <c r="BP5" s="4"/>
      <c r="CA5" s="5"/>
      <c r="CB5" s="4"/>
      <c r="CM5" s="5"/>
      <c r="CN5" s="4"/>
      <c r="CY5" s="5"/>
      <c r="CZ5" s="4"/>
      <c r="DK5" s="5"/>
      <c r="DL5" s="3">
        <f t="shared" si="26"/>
        <v>0</v>
      </c>
      <c r="DM5" s="3">
        <v>15</v>
      </c>
      <c r="DN5" s="3">
        <f t="shared" si="27"/>
        <v>15</v>
      </c>
      <c r="DO5" s="10">
        <f t="shared" si="28"/>
        <v>0</v>
      </c>
      <c r="DP5" s="3">
        <f t="shared" si="29"/>
        <v>0</v>
      </c>
      <c r="DQ5" s="3">
        <f t="shared" si="30"/>
        <v>0</v>
      </c>
      <c r="DR5" s="3">
        <f t="shared" si="31"/>
        <v>0</v>
      </c>
      <c r="DS5" s="3">
        <f t="shared" si="32"/>
        <v>0</v>
      </c>
      <c r="DT5" s="3">
        <f t="shared" si="33"/>
        <v>0</v>
      </c>
      <c r="DU5" s="3">
        <f t="shared" si="34"/>
        <v>0</v>
      </c>
      <c r="DV5" s="3">
        <f t="shared" si="35"/>
        <v>0</v>
      </c>
      <c r="DW5" s="3">
        <f t="shared" si="36"/>
        <v>0</v>
      </c>
      <c r="DX5" s="3">
        <f t="shared" si="37"/>
        <v>0</v>
      </c>
      <c r="DY5" s="3">
        <f t="shared" si="38"/>
        <v>0</v>
      </c>
      <c r="DZ5" s="3">
        <f t="shared" si="39"/>
        <v>0</v>
      </c>
      <c r="EA5" s="3">
        <f t="shared" si="40"/>
        <v>0</v>
      </c>
      <c r="EB5" s="3">
        <f t="shared" si="41"/>
        <v>0</v>
      </c>
      <c r="EC5" s="3">
        <f t="shared" si="42"/>
        <v>0</v>
      </c>
      <c r="ED5" s="3">
        <f t="shared" si="43"/>
        <v>0</v>
      </c>
      <c r="EE5" s="3">
        <f t="shared" si="44"/>
        <v>0</v>
      </c>
      <c r="EF5" s="3">
        <f t="shared" si="45"/>
        <v>0</v>
      </c>
      <c r="EG5" s="3">
        <f t="shared" si="46"/>
        <v>0</v>
      </c>
      <c r="EH5" s="3">
        <f t="shared" si="47"/>
        <v>0</v>
      </c>
      <c r="EI5" s="3">
        <f t="shared" si="48"/>
        <v>0</v>
      </c>
      <c r="EJ5" s="3">
        <f t="shared" si="49"/>
        <v>0</v>
      </c>
      <c r="EK5" s="3">
        <f t="shared" si="50"/>
        <v>0</v>
      </c>
      <c r="EL5" s="3">
        <f t="shared" si="51"/>
        <v>0</v>
      </c>
      <c r="EM5" s="3">
        <f t="shared" si="52"/>
        <v>0</v>
      </c>
      <c r="EN5" s="3">
        <f t="shared" si="53"/>
        <v>0</v>
      </c>
      <c r="EO5" s="3">
        <f t="shared" si="54"/>
        <v>0</v>
      </c>
      <c r="EP5" s="3">
        <f t="shared" si="55"/>
        <v>0</v>
      </c>
      <c r="EQ5" s="3">
        <f t="shared" si="56"/>
        <v>0</v>
      </c>
      <c r="ER5" s="3">
        <f t="shared" si="57"/>
        <v>0</v>
      </c>
      <c r="ES5" s="3">
        <f t="shared" si="58"/>
        <v>0</v>
      </c>
      <c r="ET5" s="3">
        <f t="shared" si="59"/>
        <v>0</v>
      </c>
      <c r="EU5" s="3">
        <f t="shared" si="60"/>
        <v>0</v>
      </c>
      <c r="EV5" s="3">
        <f t="shared" si="61"/>
        <v>0</v>
      </c>
      <c r="EW5" s="3">
        <f t="shared" si="62"/>
        <v>0</v>
      </c>
      <c r="EX5" s="3">
        <f t="shared" si="63"/>
        <v>0</v>
      </c>
      <c r="EY5" s="3">
        <f t="shared" si="64"/>
        <v>0</v>
      </c>
      <c r="EZ5" s="3">
        <f t="shared" si="65"/>
        <v>0</v>
      </c>
      <c r="FA5" s="3">
        <f t="shared" si="66"/>
        <v>0</v>
      </c>
      <c r="FB5" s="3">
        <f t="shared" si="67"/>
        <v>0</v>
      </c>
      <c r="FC5" s="3">
        <f t="shared" si="68"/>
        <v>0</v>
      </c>
      <c r="FD5" s="3">
        <f t="shared" si="69"/>
        <v>0</v>
      </c>
      <c r="FE5" s="3">
        <f t="shared" si="70"/>
        <v>0</v>
      </c>
      <c r="FF5" s="3">
        <f t="shared" si="71"/>
        <v>0</v>
      </c>
      <c r="FG5" s="3">
        <f t="shared" si="72"/>
        <v>0</v>
      </c>
      <c r="FH5" s="3">
        <f t="shared" si="73"/>
        <v>0</v>
      </c>
      <c r="FI5" s="3">
        <f t="shared" si="74"/>
        <v>0</v>
      </c>
      <c r="FJ5" s="3">
        <f t="shared" si="75"/>
        <v>0</v>
      </c>
      <c r="FK5" s="3">
        <f t="shared" si="76"/>
        <v>0</v>
      </c>
      <c r="FL5" s="3">
        <f t="shared" si="77"/>
        <v>0</v>
      </c>
      <c r="FM5" s="3">
        <f t="shared" si="78"/>
        <v>0</v>
      </c>
      <c r="FN5" s="3">
        <f t="shared" si="79"/>
        <v>0</v>
      </c>
      <c r="FO5" s="3">
        <f t="shared" si="80"/>
        <v>0</v>
      </c>
      <c r="FP5" s="3">
        <f t="shared" si="81"/>
        <v>0</v>
      </c>
      <c r="FQ5" s="3">
        <f t="shared" si="82"/>
        <v>0</v>
      </c>
      <c r="FR5" s="3">
        <f t="shared" si="83"/>
        <v>0</v>
      </c>
      <c r="FS5" s="3">
        <f t="shared" si="84"/>
        <v>0</v>
      </c>
      <c r="FT5" s="3">
        <f t="shared" si="85"/>
        <v>0</v>
      </c>
      <c r="FU5" s="3">
        <f t="shared" si="86"/>
        <v>0</v>
      </c>
      <c r="FV5" s="3">
        <f t="shared" si="87"/>
        <v>0</v>
      </c>
      <c r="FW5" s="3">
        <f t="shared" si="88"/>
        <v>0</v>
      </c>
      <c r="FX5" s="3" t="e">
        <f>#REF!</f>
        <v>#REF!</v>
      </c>
      <c r="FY5" s="3" t="e">
        <f t="shared" si="89"/>
        <v>#REF!</v>
      </c>
    </row>
    <row r="6" spans="1:181" ht="13.9" customHeight="1" x14ac:dyDescent="0.45">
      <c r="A6" s="8">
        <f t="shared" si="8"/>
        <v>4</v>
      </c>
      <c r="B6" s="8" t="s">
        <v>15</v>
      </c>
      <c r="C6" s="8"/>
      <c r="D6" s="8"/>
      <c r="E6" s="8"/>
      <c r="F6" s="8"/>
      <c r="G6" s="8">
        <v>2</v>
      </c>
      <c r="H6" s="8">
        <v>2</v>
      </c>
      <c r="I6" s="8">
        <v>3</v>
      </c>
      <c r="J6" s="8">
        <v>3</v>
      </c>
      <c r="K6" s="8"/>
      <c r="L6" s="8"/>
      <c r="M6" s="8"/>
      <c r="N6" s="8"/>
      <c r="O6" s="8">
        <f t="shared" si="9"/>
        <v>4</v>
      </c>
      <c r="P6" s="8">
        <f t="shared" si="10"/>
        <v>6</v>
      </c>
      <c r="Q6" s="8">
        <f t="shared" si="2"/>
        <v>10</v>
      </c>
      <c r="S6" s="8">
        <f t="shared" si="90"/>
        <v>4</v>
      </c>
      <c r="T6" s="8" t="str">
        <f t="shared" si="3"/>
        <v>محمد الحجفي</v>
      </c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>
        <f t="shared" si="4"/>
        <v>0</v>
      </c>
      <c r="AH6" s="8">
        <f t="shared" si="5"/>
        <v>0</v>
      </c>
      <c r="AI6" s="8">
        <f t="shared" si="11"/>
        <v>0</v>
      </c>
      <c r="AJ6" s="11">
        <v>3</v>
      </c>
      <c r="AK6" s="8">
        <f t="shared" si="91"/>
        <v>4</v>
      </c>
      <c r="AL6" s="8" t="str">
        <f t="shared" si="6"/>
        <v>محمد الحجفي</v>
      </c>
      <c r="AM6" s="8">
        <f t="shared" si="12"/>
        <v>0</v>
      </c>
      <c r="AN6" s="8">
        <f t="shared" si="13"/>
        <v>0</v>
      </c>
      <c r="AO6" s="8">
        <f t="shared" si="14"/>
        <v>0</v>
      </c>
      <c r="AP6" s="8">
        <f t="shared" si="15"/>
        <v>0</v>
      </c>
      <c r="AQ6" s="8">
        <f t="shared" si="16"/>
        <v>2</v>
      </c>
      <c r="AR6" s="8">
        <f t="shared" si="17"/>
        <v>2</v>
      </c>
      <c r="AS6" s="8">
        <f t="shared" si="18"/>
        <v>3</v>
      </c>
      <c r="AT6" s="8">
        <f t="shared" si="19"/>
        <v>3</v>
      </c>
      <c r="AU6" s="8">
        <f t="shared" si="20"/>
        <v>0</v>
      </c>
      <c r="AV6" s="8">
        <f t="shared" si="21"/>
        <v>0</v>
      </c>
      <c r="AW6" s="8">
        <f t="shared" si="22"/>
        <v>0</v>
      </c>
      <c r="AX6" s="8">
        <f t="shared" si="23"/>
        <v>0</v>
      </c>
      <c r="AY6" s="8">
        <f t="shared" si="24"/>
        <v>10</v>
      </c>
      <c r="AZ6" s="3">
        <f t="shared" si="25"/>
        <v>186</v>
      </c>
      <c r="BB6" s="3">
        <v>4</v>
      </c>
      <c r="BC6" s="3" t="s">
        <v>4</v>
      </c>
      <c r="BD6" s="4"/>
      <c r="BO6" s="5"/>
      <c r="BP6" s="4"/>
      <c r="CA6" s="5"/>
      <c r="CB6" s="4"/>
      <c r="CM6" s="5"/>
      <c r="CN6" s="4"/>
      <c r="CY6" s="5"/>
      <c r="CZ6" s="4"/>
      <c r="DK6" s="5"/>
      <c r="DL6" s="3">
        <f t="shared" si="26"/>
        <v>0</v>
      </c>
      <c r="DM6" s="3">
        <v>15</v>
      </c>
      <c r="DN6" s="3">
        <f t="shared" si="27"/>
        <v>15</v>
      </c>
      <c r="DO6" s="10">
        <f t="shared" si="28"/>
        <v>0</v>
      </c>
      <c r="DP6" s="3">
        <f t="shared" si="29"/>
        <v>0</v>
      </c>
      <c r="DQ6" s="3">
        <f t="shared" si="30"/>
        <v>0</v>
      </c>
      <c r="DR6" s="3">
        <f t="shared" si="31"/>
        <v>0</v>
      </c>
      <c r="DS6" s="3">
        <f t="shared" si="32"/>
        <v>0</v>
      </c>
      <c r="DT6" s="3">
        <f t="shared" si="33"/>
        <v>0</v>
      </c>
      <c r="DU6" s="3">
        <f t="shared" si="34"/>
        <v>0</v>
      </c>
      <c r="DV6" s="3">
        <f t="shared" si="35"/>
        <v>0</v>
      </c>
      <c r="DW6" s="3">
        <f t="shared" si="36"/>
        <v>0</v>
      </c>
      <c r="DX6" s="3">
        <f t="shared" si="37"/>
        <v>0</v>
      </c>
      <c r="DY6" s="3">
        <f t="shared" si="38"/>
        <v>0</v>
      </c>
      <c r="DZ6" s="3">
        <f t="shared" si="39"/>
        <v>0</v>
      </c>
      <c r="EA6" s="3">
        <f t="shared" si="40"/>
        <v>0</v>
      </c>
      <c r="EB6" s="3">
        <f t="shared" si="41"/>
        <v>0</v>
      </c>
      <c r="EC6" s="3">
        <f t="shared" si="42"/>
        <v>0</v>
      </c>
      <c r="ED6" s="3">
        <f t="shared" si="43"/>
        <v>0</v>
      </c>
      <c r="EE6" s="3">
        <f t="shared" si="44"/>
        <v>0</v>
      </c>
      <c r="EF6" s="3">
        <f t="shared" si="45"/>
        <v>0</v>
      </c>
      <c r="EG6" s="3">
        <f t="shared" si="46"/>
        <v>0</v>
      </c>
      <c r="EH6" s="3">
        <f t="shared" si="47"/>
        <v>0</v>
      </c>
      <c r="EI6" s="3">
        <f t="shared" si="48"/>
        <v>0</v>
      </c>
      <c r="EJ6" s="3">
        <f t="shared" si="49"/>
        <v>0</v>
      </c>
      <c r="EK6" s="3">
        <f t="shared" si="50"/>
        <v>0</v>
      </c>
      <c r="EL6" s="3">
        <f t="shared" si="51"/>
        <v>0</v>
      </c>
      <c r="EM6" s="3">
        <f t="shared" si="52"/>
        <v>0</v>
      </c>
      <c r="EN6" s="3">
        <f t="shared" si="53"/>
        <v>0</v>
      </c>
      <c r="EO6" s="3">
        <f t="shared" si="54"/>
        <v>0</v>
      </c>
      <c r="EP6" s="3">
        <f t="shared" si="55"/>
        <v>0</v>
      </c>
      <c r="EQ6" s="3">
        <f t="shared" si="56"/>
        <v>0</v>
      </c>
      <c r="ER6" s="3">
        <f t="shared" si="57"/>
        <v>0</v>
      </c>
      <c r="ES6" s="3">
        <f t="shared" si="58"/>
        <v>0</v>
      </c>
      <c r="ET6" s="3">
        <f t="shared" si="59"/>
        <v>0</v>
      </c>
      <c r="EU6" s="3">
        <f t="shared" si="60"/>
        <v>0</v>
      </c>
      <c r="EV6" s="3">
        <f t="shared" si="61"/>
        <v>0</v>
      </c>
      <c r="EW6" s="3">
        <f t="shared" si="62"/>
        <v>0</v>
      </c>
      <c r="EX6" s="3">
        <f t="shared" si="63"/>
        <v>0</v>
      </c>
      <c r="EY6" s="3">
        <f t="shared" si="64"/>
        <v>0</v>
      </c>
      <c r="EZ6" s="3">
        <f t="shared" si="65"/>
        <v>0</v>
      </c>
      <c r="FA6" s="3">
        <f t="shared" si="66"/>
        <v>0</v>
      </c>
      <c r="FB6" s="3">
        <f t="shared" si="67"/>
        <v>0</v>
      </c>
      <c r="FC6" s="3">
        <f t="shared" si="68"/>
        <v>0</v>
      </c>
      <c r="FD6" s="3">
        <f t="shared" si="69"/>
        <v>0</v>
      </c>
      <c r="FE6" s="3">
        <f t="shared" si="70"/>
        <v>0</v>
      </c>
      <c r="FF6" s="3">
        <f t="shared" si="71"/>
        <v>0</v>
      </c>
      <c r="FG6" s="3">
        <f t="shared" si="72"/>
        <v>0</v>
      </c>
      <c r="FH6" s="3">
        <f t="shared" si="73"/>
        <v>0</v>
      </c>
      <c r="FI6" s="3">
        <f t="shared" si="74"/>
        <v>0</v>
      </c>
      <c r="FJ6" s="3">
        <f t="shared" si="75"/>
        <v>0</v>
      </c>
      <c r="FK6" s="3">
        <f t="shared" si="76"/>
        <v>0</v>
      </c>
      <c r="FL6" s="3">
        <f t="shared" si="77"/>
        <v>0</v>
      </c>
      <c r="FM6" s="3">
        <f t="shared" si="78"/>
        <v>0</v>
      </c>
      <c r="FN6" s="3">
        <f t="shared" si="79"/>
        <v>0</v>
      </c>
      <c r="FO6" s="3">
        <f t="shared" si="80"/>
        <v>0</v>
      </c>
      <c r="FP6" s="3">
        <f t="shared" si="81"/>
        <v>0</v>
      </c>
      <c r="FQ6" s="3">
        <f t="shared" si="82"/>
        <v>0</v>
      </c>
      <c r="FR6" s="3">
        <f t="shared" si="83"/>
        <v>0</v>
      </c>
      <c r="FS6" s="3">
        <f t="shared" si="84"/>
        <v>0</v>
      </c>
      <c r="FT6" s="3">
        <f t="shared" si="85"/>
        <v>0</v>
      </c>
      <c r="FU6" s="3">
        <f t="shared" si="86"/>
        <v>0</v>
      </c>
      <c r="FV6" s="3">
        <f t="shared" si="87"/>
        <v>0</v>
      </c>
      <c r="FW6" s="3">
        <f t="shared" si="88"/>
        <v>0</v>
      </c>
      <c r="FX6" s="3" t="e">
        <f>#REF!</f>
        <v>#REF!</v>
      </c>
      <c r="FY6" s="3" t="e">
        <f t="shared" si="89"/>
        <v>#REF!</v>
      </c>
    </row>
    <row r="7" spans="1:181" ht="13.9" customHeight="1" x14ac:dyDescent="0.45">
      <c r="A7" s="8">
        <f t="shared" si="8"/>
        <v>5</v>
      </c>
      <c r="B7" s="8" t="s">
        <v>42</v>
      </c>
      <c r="C7" s="8"/>
      <c r="D7" s="8"/>
      <c r="E7" s="8"/>
      <c r="F7" s="8"/>
      <c r="G7" s="8"/>
      <c r="H7" s="8"/>
      <c r="I7" s="8">
        <v>4</v>
      </c>
      <c r="J7" s="8">
        <v>4</v>
      </c>
      <c r="K7" s="8"/>
      <c r="L7" s="8"/>
      <c r="M7" s="8"/>
      <c r="N7" s="8"/>
      <c r="O7" s="8">
        <f t="shared" si="9"/>
        <v>0</v>
      </c>
      <c r="P7" s="8">
        <f t="shared" si="10"/>
        <v>8</v>
      </c>
      <c r="Q7" s="8">
        <f t="shared" si="2"/>
        <v>8</v>
      </c>
      <c r="S7" s="8">
        <f t="shared" si="90"/>
        <v>5</v>
      </c>
      <c r="T7" s="8" t="str">
        <f t="shared" si="3"/>
        <v>أبو عاصم</v>
      </c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>
        <f t="shared" si="4"/>
        <v>0</v>
      </c>
      <c r="AH7" s="8">
        <f t="shared" si="5"/>
        <v>0</v>
      </c>
      <c r="AI7" s="8">
        <f t="shared" si="11"/>
        <v>0</v>
      </c>
      <c r="AJ7" s="11">
        <v>5</v>
      </c>
      <c r="AK7" s="8">
        <f t="shared" si="91"/>
        <v>5</v>
      </c>
      <c r="AL7" s="8" t="str">
        <f t="shared" si="6"/>
        <v>أبو عاصم</v>
      </c>
      <c r="AM7" s="8">
        <f t="shared" si="12"/>
        <v>0</v>
      </c>
      <c r="AN7" s="8">
        <f t="shared" si="13"/>
        <v>0</v>
      </c>
      <c r="AO7" s="8">
        <f t="shared" si="14"/>
        <v>0</v>
      </c>
      <c r="AP7" s="8">
        <f t="shared" si="15"/>
        <v>0</v>
      </c>
      <c r="AQ7" s="8">
        <f t="shared" si="16"/>
        <v>0</v>
      </c>
      <c r="AR7" s="8">
        <f t="shared" si="17"/>
        <v>0</v>
      </c>
      <c r="AS7" s="8">
        <f t="shared" si="18"/>
        <v>4</v>
      </c>
      <c r="AT7" s="8">
        <f t="shared" si="19"/>
        <v>4</v>
      </c>
      <c r="AU7" s="8">
        <f t="shared" si="20"/>
        <v>0</v>
      </c>
      <c r="AV7" s="8">
        <f t="shared" si="21"/>
        <v>0</v>
      </c>
      <c r="AW7" s="8">
        <f t="shared" si="22"/>
        <v>0</v>
      </c>
      <c r="AX7" s="8">
        <f t="shared" si="23"/>
        <v>0</v>
      </c>
      <c r="AY7" s="8">
        <f t="shared" si="24"/>
        <v>8</v>
      </c>
      <c r="AZ7" s="3">
        <f t="shared" si="25"/>
        <v>152</v>
      </c>
      <c r="BB7" s="3">
        <v>5</v>
      </c>
      <c r="BC7" s="3" t="s">
        <v>5</v>
      </c>
      <c r="BD7" s="4">
        <v>1</v>
      </c>
      <c r="BE7" s="3">
        <v>1</v>
      </c>
      <c r="BO7" s="5"/>
      <c r="BP7" s="4"/>
      <c r="BR7" s="3">
        <v>1</v>
      </c>
      <c r="BS7" s="3">
        <v>1</v>
      </c>
      <c r="CA7" s="5"/>
      <c r="CB7" s="4">
        <v>1</v>
      </c>
      <c r="CC7" s="3">
        <v>1</v>
      </c>
      <c r="CE7" s="3">
        <v>1</v>
      </c>
      <c r="CF7" s="3">
        <v>1</v>
      </c>
      <c r="CG7" s="3">
        <v>1</v>
      </c>
      <c r="CM7" s="5"/>
      <c r="CN7" s="4">
        <v>1</v>
      </c>
      <c r="CO7" s="3">
        <v>1</v>
      </c>
      <c r="CP7" s="3">
        <v>1</v>
      </c>
      <c r="CR7" s="3">
        <v>1</v>
      </c>
      <c r="CS7" s="3">
        <v>1</v>
      </c>
      <c r="CY7" s="5"/>
      <c r="CZ7" s="4"/>
      <c r="DA7" s="3">
        <v>1</v>
      </c>
      <c r="DB7" s="3">
        <v>1</v>
      </c>
      <c r="DC7" s="3">
        <v>1</v>
      </c>
      <c r="DD7" s="3">
        <v>1</v>
      </c>
      <c r="DE7" s="3">
        <v>1</v>
      </c>
      <c r="DK7" s="5"/>
      <c r="DL7" s="3">
        <f t="shared" si="26"/>
        <v>19</v>
      </c>
      <c r="DM7" s="3">
        <v>19</v>
      </c>
      <c r="DN7" s="3">
        <f t="shared" si="27"/>
        <v>0</v>
      </c>
      <c r="DO7" s="10">
        <f t="shared" si="28"/>
        <v>327</v>
      </c>
      <c r="DP7" s="3">
        <f t="shared" si="29"/>
        <v>11</v>
      </c>
      <c r="DQ7" s="3">
        <f t="shared" si="30"/>
        <v>21</v>
      </c>
      <c r="DR7" s="3">
        <f t="shared" si="31"/>
        <v>0</v>
      </c>
      <c r="DS7" s="3">
        <f t="shared" si="32"/>
        <v>0</v>
      </c>
      <c r="DT7" s="3">
        <f t="shared" si="33"/>
        <v>0</v>
      </c>
      <c r="DU7" s="3">
        <f t="shared" si="34"/>
        <v>0</v>
      </c>
      <c r="DV7" s="3">
        <f t="shared" si="35"/>
        <v>0</v>
      </c>
      <c r="DW7" s="3">
        <f t="shared" si="36"/>
        <v>0</v>
      </c>
      <c r="DX7" s="3">
        <f t="shared" si="37"/>
        <v>0</v>
      </c>
      <c r="DY7" s="3">
        <f t="shared" si="38"/>
        <v>0</v>
      </c>
      <c r="DZ7" s="3">
        <f t="shared" si="39"/>
        <v>0</v>
      </c>
      <c r="EA7" s="3">
        <f t="shared" si="40"/>
        <v>0</v>
      </c>
      <c r="EB7" s="3">
        <f t="shared" si="41"/>
        <v>0</v>
      </c>
      <c r="EC7" s="3">
        <f t="shared" si="42"/>
        <v>0</v>
      </c>
      <c r="ED7" s="3">
        <f t="shared" si="43"/>
        <v>12</v>
      </c>
      <c r="EE7" s="3">
        <f t="shared" si="44"/>
        <v>22</v>
      </c>
      <c r="EF7" s="3">
        <f t="shared" si="45"/>
        <v>0</v>
      </c>
      <c r="EG7" s="3">
        <f t="shared" si="46"/>
        <v>0</v>
      </c>
      <c r="EH7" s="3">
        <f t="shared" si="47"/>
        <v>0</v>
      </c>
      <c r="EI7" s="3">
        <f t="shared" si="48"/>
        <v>0</v>
      </c>
      <c r="EJ7" s="3">
        <f t="shared" si="49"/>
        <v>0</v>
      </c>
      <c r="EK7" s="3">
        <f t="shared" si="50"/>
        <v>0</v>
      </c>
      <c r="EL7" s="3">
        <f t="shared" si="51"/>
        <v>0</v>
      </c>
      <c r="EM7" s="3">
        <f t="shared" si="52"/>
        <v>0</v>
      </c>
      <c r="EN7" s="3">
        <f t="shared" si="53"/>
        <v>11</v>
      </c>
      <c r="EO7" s="3">
        <f t="shared" si="54"/>
        <v>21</v>
      </c>
      <c r="EP7" s="3">
        <f t="shared" si="55"/>
        <v>0</v>
      </c>
      <c r="EQ7" s="3">
        <f t="shared" si="56"/>
        <v>22</v>
      </c>
      <c r="ER7" s="3">
        <f t="shared" si="57"/>
        <v>13</v>
      </c>
      <c r="ES7" s="3">
        <f t="shared" si="58"/>
        <v>23</v>
      </c>
      <c r="ET7" s="3">
        <f t="shared" si="59"/>
        <v>0</v>
      </c>
      <c r="EU7" s="3">
        <f t="shared" si="60"/>
        <v>0</v>
      </c>
      <c r="EV7" s="3">
        <f t="shared" si="61"/>
        <v>0</v>
      </c>
      <c r="EW7" s="3">
        <f t="shared" si="62"/>
        <v>0</v>
      </c>
      <c r="EX7" s="3">
        <f t="shared" si="63"/>
        <v>0</v>
      </c>
      <c r="EY7" s="3">
        <f t="shared" si="64"/>
        <v>0</v>
      </c>
      <c r="EZ7" s="3">
        <f t="shared" si="65"/>
        <v>11</v>
      </c>
      <c r="FA7" s="3">
        <f t="shared" si="66"/>
        <v>21</v>
      </c>
      <c r="FB7" s="3">
        <f t="shared" si="67"/>
        <v>12</v>
      </c>
      <c r="FC7" s="3">
        <f t="shared" si="68"/>
        <v>0</v>
      </c>
      <c r="FD7" s="3">
        <f t="shared" si="69"/>
        <v>13</v>
      </c>
      <c r="FE7" s="3">
        <f t="shared" si="70"/>
        <v>23</v>
      </c>
      <c r="FF7" s="3">
        <f t="shared" si="71"/>
        <v>0</v>
      </c>
      <c r="FG7" s="3">
        <f t="shared" si="72"/>
        <v>0</v>
      </c>
      <c r="FH7" s="3">
        <f t="shared" si="73"/>
        <v>0</v>
      </c>
      <c r="FI7" s="3">
        <f t="shared" si="74"/>
        <v>0</v>
      </c>
      <c r="FJ7" s="3">
        <f t="shared" si="75"/>
        <v>0</v>
      </c>
      <c r="FK7" s="3">
        <f t="shared" si="76"/>
        <v>0</v>
      </c>
      <c r="FL7" s="3">
        <f t="shared" si="77"/>
        <v>0</v>
      </c>
      <c r="FM7" s="3">
        <f t="shared" si="78"/>
        <v>21</v>
      </c>
      <c r="FN7" s="3">
        <f t="shared" si="79"/>
        <v>12</v>
      </c>
      <c r="FO7" s="3">
        <f t="shared" si="80"/>
        <v>22</v>
      </c>
      <c r="FP7" s="3">
        <f t="shared" si="81"/>
        <v>13</v>
      </c>
      <c r="FQ7" s="3">
        <f t="shared" si="82"/>
        <v>23</v>
      </c>
      <c r="FR7" s="3">
        <f t="shared" si="83"/>
        <v>0</v>
      </c>
      <c r="FS7" s="3">
        <f t="shared" si="84"/>
        <v>0</v>
      </c>
      <c r="FT7" s="3">
        <f t="shared" si="85"/>
        <v>0</v>
      </c>
      <c r="FU7" s="3">
        <f t="shared" si="86"/>
        <v>0</v>
      </c>
      <c r="FV7" s="3">
        <f t="shared" si="87"/>
        <v>0</v>
      </c>
      <c r="FW7" s="3">
        <f t="shared" si="88"/>
        <v>0</v>
      </c>
      <c r="FX7" s="3" t="e">
        <f>#REF!</f>
        <v>#REF!</v>
      </c>
      <c r="FY7" s="3" t="e">
        <f t="shared" si="89"/>
        <v>#REF!</v>
      </c>
    </row>
    <row r="8" spans="1:181" ht="13.9" customHeight="1" x14ac:dyDescent="0.45">
      <c r="A8" s="8">
        <f t="shared" si="8"/>
        <v>6</v>
      </c>
      <c r="B8" s="8" t="s">
        <v>3</v>
      </c>
      <c r="C8" s="8">
        <v>5</v>
      </c>
      <c r="D8" s="8"/>
      <c r="E8" s="8">
        <v>5</v>
      </c>
      <c r="F8" s="8">
        <v>5</v>
      </c>
      <c r="G8" s="8"/>
      <c r="H8" s="8"/>
      <c r="I8" s="8"/>
      <c r="J8" s="8"/>
      <c r="K8" s="8"/>
      <c r="L8" s="8"/>
      <c r="M8" s="8"/>
      <c r="N8" s="8"/>
      <c r="O8" s="8">
        <f t="shared" si="9"/>
        <v>15</v>
      </c>
      <c r="P8" s="8">
        <f t="shared" si="10"/>
        <v>0</v>
      </c>
      <c r="Q8" s="8">
        <f t="shared" si="2"/>
        <v>15</v>
      </c>
      <c r="S8" s="8">
        <f t="shared" si="90"/>
        <v>6</v>
      </c>
      <c r="T8" s="8" t="str">
        <f t="shared" si="3"/>
        <v>علي اليحيوي</v>
      </c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>
        <f t="shared" si="4"/>
        <v>0</v>
      </c>
      <c r="AH8" s="8">
        <f t="shared" si="5"/>
        <v>0</v>
      </c>
      <c r="AI8" s="8">
        <f t="shared" si="11"/>
        <v>0</v>
      </c>
      <c r="AJ8" s="11">
        <v>3</v>
      </c>
      <c r="AK8" s="8">
        <f t="shared" si="91"/>
        <v>6</v>
      </c>
      <c r="AL8" s="8" t="str">
        <f t="shared" si="6"/>
        <v>علي اليحيوي</v>
      </c>
      <c r="AM8" s="8">
        <f t="shared" si="12"/>
        <v>5</v>
      </c>
      <c r="AN8" s="8">
        <f t="shared" si="13"/>
        <v>0</v>
      </c>
      <c r="AO8" s="8">
        <f t="shared" si="14"/>
        <v>5</v>
      </c>
      <c r="AP8" s="8">
        <f t="shared" si="15"/>
        <v>5</v>
      </c>
      <c r="AQ8" s="8">
        <f t="shared" si="16"/>
        <v>0</v>
      </c>
      <c r="AR8" s="8">
        <f t="shared" si="17"/>
        <v>0</v>
      </c>
      <c r="AS8" s="8">
        <f t="shared" si="18"/>
        <v>0</v>
      </c>
      <c r="AT8" s="8">
        <f t="shared" si="19"/>
        <v>0</v>
      </c>
      <c r="AU8" s="8">
        <f t="shared" si="20"/>
        <v>0</v>
      </c>
      <c r="AV8" s="8">
        <f t="shared" si="21"/>
        <v>0</v>
      </c>
      <c r="AW8" s="8">
        <f t="shared" si="22"/>
        <v>0</v>
      </c>
      <c r="AX8" s="8">
        <f t="shared" si="23"/>
        <v>0</v>
      </c>
      <c r="AY8" s="8">
        <f t="shared" si="24"/>
        <v>15</v>
      </c>
      <c r="AZ8" s="3">
        <f t="shared" si="25"/>
        <v>225</v>
      </c>
      <c r="BB8" s="3">
        <v>6</v>
      </c>
      <c r="BC8" s="3" t="s">
        <v>6</v>
      </c>
      <c r="BD8" s="4"/>
      <c r="BO8" s="5"/>
      <c r="BP8" s="4"/>
      <c r="CA8" s="5"/>
      <c r="CB8" s="4"/>
      <c r="CM8" s="5"/>
      <c r="CN8" s="4"/>
      <c r="CY8" s="5"/>
      <c r="CZ8" s="4"/>
      <c r="DK8" s="5"/>
      <c r="DL8" s="3">
        <f t="shared" si="26"/>
        <v>0</v>
      </c>
      <c r="DM8" s="3">
        <v>17</v>
      </c>
      <c r="DN8" s="3">
        <f t="shared" si="27"/>
        <v>17</v>
      </c>
      <c r="DO8" s="10">
        <f t="shared" si="28"/>
        <v>0</v>
      </c>
      <c r="DP8" s="3">
        <f t="shared" si="29"/>
        <v>0</v>
      </c>
      <c r="DQ8" s="3">
        <f t="shared" si="30"/>
        <v>0</v>
      </c>
      <c r="DR8" s="3">
        <f t="shared" si="31"/>
        <v>0</v>
      </c>
      <c r="DS8" s="3">
        <f t="shared" si="32"/>
        <v>0</v>
      </c>
      <c r="DT8" s="3">
        <f t="shared" si="33"/>
        <v>0</v>
      </c>
      <c r="DU8" s="3">
        <f t="shared" si="34"/>
        <v>0</v>
      </c>
      <c r="DV8" s="3">
        <f t="shared" si="35"/>
        <v>0</v>
      </c>
      <c r="DW8" s="3">
        <f t="shared" si="36"/>
        <v>0</v>
      </c>
      <c r="DX8" s="3">
        <f t="shared" si="37"/>
        <v>0</v>
      </c>
      <c r="DY8" s="3">
        <f t="shared" si="38"/>
        <v>0</v>
      </c>
      <c r="DZ8" s="3">
        <f t="shared" si="39"/>
        <v>0</v>
      </c>
      <c r="EA8" s="3">
        <f t="shared" si="40"/>
        <v>0</v>
      </c>
      <c r="EB8" s="3">
        <f t="shared" si="41"/>
        <v>0</v>
      </c>
      <c r="EC8" s="3">
        <f t="shared" si="42"/>
        <v>0</v>
      </c>
      <c r="ED8" s="3">
        <f t="shared" si="43"/>
        <v>0</v>
      </c>
      <c r="EE8" s="3">
        <f t="shared" si="44"/>
        <v>0</v>
      </c>
      <c r="EF8" s="3">
        <f t="shared" si="45"/>
        <v>0</v>
      </c>
      <c r="EG8" s="3">
        <f t="shared" si="46"/>
        <v>0</v>
      </c>
      <c r="EH8" s="3">
        <f t="shared" si="47"/>
        <v>0</v>
      </c>
      <c r="EI8" s="3">
        <f t="shared" si="48"/>
        <v>0</v>
      </c>
      <c r="EJ8" s="3">
        <f t="shared" si="49"/>
        <v>0</v>
      </c>
      <c r="EK8" s="3">
        <f t="shared" si="50"/>
        <v>0</v>
      </c>
      <c r="EL8" s="3">
        <f t="shared" si="51"/>
        <v>0</v>
      </c>
      <c r="EM8" s="3">
        <f t="shared" si="52"/>
        <v>0</v>
      </c>
      <c r="EN8" s="3">
        <f t="shared" si="53"/>
        <v>0</v>
      </c>
      <c r="EO8" s="3">
        <f t="shared" si="54"/>
        <v>0</v>
      </c>
      <c r="EP8" s="3">
        <f t="shared" si="55"/>
        <v>0</v>
      </c>
      <c r="EQ8" s="3">
        <f t="shared" si="56"/>
        <v>0</v>
      </c>
      <c r="ER8" s="3">
        <f t="shared" si="57"/>
        <v>0</v>
      </c>
      <c r="ES8" s="3">
        <f t="shared" si="58"/>
        <v>0</v>
      </c>
      <c r="ET8" s="3">
        <f t="shared" si="59"/>
        <v>0</v>
      </c>
      <c r="EU8" s="3">
        <f t="shared" si="60"/>
        <v>0</v>
      </c>
      <c r="EV8" s="3">
        <f t="shared" si="61"/>
        <v>0</v>
      </c>
      <c r="EW8" s="3">
        <f t="shared" si="62"/>
        <v>0</v>
      </c>
      <c r="EX8" s="3">
        <f t="shared" si="63"/>
        <v>0</v>
      </c>
      <c r="EY8" s="3">
        <f t="shared" si="64"/>
        <v>0</v>
      </c>
      <c r="EZ8" s="3">
        <f t="shared" si="65"/>
        <v>0</v>
      </c>
      <c r="FA8" s="3">
        <f t="shared" si="66"/>
        <v>0</v>
      </c>
      <c r="FB8" s="3">
        <f t="shared" si="67"/>
        <v>0</v>
      </c>
      <c r="FC8" s="3">
        <f t="shared" si="68"/>
        <v>0</v>
      </c>
      <c r="FD8" s="3">
        <f t="shared" si="69"/>
        <v>0</v>
      </c>
      <c r="FE8" s="3">
        <f t="shared" si="70"/>
        <v>0</v>
      </c>
      <c r="FF8" s="3">
        <f t="shared" si="71"/>
        <v>0</v>
      </c>
      <c r="FG8" s="3">
        <f t="shared" si="72"/>
        <v>0</v>
      </c>
      <c r="FH8" s="3">
        <f t="shared" si="73"/>
        <v>0</v>
      </c>
      <c r="FI8" s="3">
        <f t="shared" si="74"/>
        <v>0</v>
      </c>
      <c r="FJ8" s="3">
        <f t="shared" si="75"/>
        <v>0</v>
      </c>
      <c r="FK8" s="3">
        <f t="shared" si="76"/>
        <v>0</v>
      </c>
      <c r="FL8" s="3">
        <f t="shared" si="77"/>
        <v>0</v>
      </c>
      <c r="FM8" s="3">
        <f t="shared" si="78"/>
        <v>0</v>
      </c>
      <c r="FN8" s="3">
        <f t="shared" si="79"/>
        <v>0</v>
      </c>
      <c r="FO8" s="3">
        <f t="shared" si="80"/>
        <v>0</v>
      </c>
      <c r="FP8" s="3">
        <f t="shared" si="81"/>
        <v>0</v>
      </c>
      <c r="FQ8" s="3">
        <f t="shared" si="82"/>
        <v>0</v>
      </c>
      <c r="FR8" s="3">
        <f t="shared" si="83"/>
        <v>0</v>
      </c>
      <c r="FS8" s="3">
        <f t="shared" si="84"/>
        <v>0</v>
      </c>
      <c r="FT8" s="3">
        <f t="shared" si="85"/>
        <v>0</v>
      </c>
      <c r="FU8" s="3">
        <f t="shared" si="86"/>
        <v>0</v>
      </c>
      <c r="FV8" s="3">
        <f t="shared" si="87"/>
        <v>0</v>
      </c>
      <c r="FW8" s="3">
        <f t="shared" si="88"/>
        <v>0</v>
      </c>
      <c r="FX8" s="3" t="e">
        <f>#REF!</f>
        <v>#REF!</v>
      </c>
      <c r="FY8" s="3" t="e">
        <f t="shared" si="89"/>
        <v>#REF!</v>
      </c>
    </row>
    <row r="9" spans="1:181" ht="13.9" customHeight="1" x14ac:dyDescent="0.45">
      <c r="A9" s="8">
        <f t="shared" si="8"/>
        <v>7</v>
      </c>
      <c r="B9" s="8" t="s">
        <v>4</v>
      </c>
      <c r="C9" s="8"/>
      <c r="D9" s="8"/>
      <c r="E9" s="8"/>
      <c r="F9" s="8"/>
      <c r="G9" s="8">
        <v>5</v>
      </c>
      <c r="H9" s="8">
        <v>5</v>
      </c>
      <c r="I9" s="8"/>
      <c r="J9" s="8"/>
      <c r="K9" s="8"/>
      <c r="L9" s="8"/>
      <c r="M9" s="8"/>
      <c r="N9" s="8"/>
      <c r="O9" s="8">
        <f t="shared" si="9"/>
        <v>10</v>
      </c>
      <c r="P9" s="8">
        <f t="shared" si="10"/>
        <v>0</v>
      </c>
      <c r="Q9" s="8">
        <f t="shared" si="2"/>
        <v>10</v>
      </c>
      <c r="S9" s="8">
        <f t="shared" si="90"/>
        <v>7</v>
      </c>
      <c r="T9" s="8" t="str">
        <f t="shared" si="3"/>
        <v>جبر الغزواني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>
        <f t="shared" si="4"/>
        <v>0</v>
      </c>
      <c r="AH9" s="8">
        <f t="shared" si="5"/>
        <v>0</v>
      </c>
      <c r="AI9" s="8">
        <f t="shared" si="11"/>
        <v>0</v>
      </c>
      <c r="AJ9" s="11">
        <v>3</v>
      </c>
      <c r="AK9" s="8">
        <f t="shared" si="91"/>
        <v>7</v>
      </c>
      <c r="AL9" s="8" t="str">
        <f t="shared" si="6"/>
        <v>جبر الغزواني</v>
      </c>
      <c r="AM9" s="8">
        <f t="shared" si="12"/>
        <v>0</v>
      </c>
      <c r="AN9" s="8">
        <f t="shared" si="13"/>
        <v>0</v>
      </c>
      <c r="AO9" s="8">
        <f t="shared" si="14"/>
        <v>0</v>
      </c>
      <c r="AP9" s="8">
        <f t="shared" si="15"/>
        <v>0</v>
      </c>
      <c r="AQ9" s="8">
        <f t="shared" si="16"/>
        <v>5</v>
      </c>
      <c r="AR9" s="8">
        <f t="shared" si="17"/>
        <v>5</v>
      </c>
      <c r="AS9" s="8">
        <f t="shared" si="18"/>
        <v>0</v>
      </c>
      <c r="AT9" s="8">
        <f t="shared" si="19"/>
        <v>0</v>
      </c>
      <c r="AU9" s="8">
        <f t="shared" si="20"/>
        <v>0</v>
      </c>
      <c r="AV9" s="8">
        <f t="shared" si="21"/>
        <v>0</v>
      </c>
      <c r="AW9" s="8">
        <f t="shared" si="22"/>
        <v>0</v>
      </c>
      <c r="AX9" s="8">
        <f t="shared" si="23"/>
        <v>0</v>
      </c>
      <c r="AY9" s="8">
        <f>SUM(AM9:AX9)</f>
        <v>10</v>
      </c>
      <c r="AZ9" s="3">
        <f t="shared" si="25"/>
        <v>180</v>
      </c>
      <c r="BB9" s="3">
        <v>7</v>
      </c>
      <c r="BC9" s="3" t="s">
        <v>7</v>
      </c>
      <c r="BD9" s="4"/>
      <c r="BO9" s="5"/>
      <c r="BP9" s="4"/>
      <c r="CA9" s="5"/>
      <c r="CB9" s="4"/>
      <c r="CM9" s="5"/>
      <c r="CN9" s="4"/>
      <c r="CY9" s="5"/>
      <c r="CZ9" s="4"/>
      <c r="DK9" s="5"/>
      <c r="DL9" s="3">
        <f t="shared" si="26"/>
        <v>0</v>
      </c>
      <c r="DM9" s="3">
        <v>15</v>
      </c>
      <c r="DN9" s="3">
        <f t="shared" si="27"/>
        <v>15</v>
      </c>
      <c r="DO9" s="10">
        <f t="shared" si="28"/>
        <v>0</v>
      </c>
      <c r="DP9" s="3">
        <f t="shared" si="29"/>
        <v>0</v>
      </c>
      <c r="DQ9" s="3">
        <f t="shared" si="30"/>
        <v>0</v>
      </c>
      <c r="DR9" s="3">
        <f t="shared" si="31"/>
        <v>0</v>
      </c>
      <c r="DS9" s="3">
        <f t="shared" si="32"/>
        <v>0</v>
      </c>
      <c r="DT9" s="3">
        <f t="shared" si="33"/>
        <v>0</v>
      </c>
      <c r="DU9" s="3">
        <f t="shared" si="34"/>
        <v>0</v>
      </c>
      <c r="DV9" s="3">
        <f t="shared" si="35"/>
        <v>0</v>
      </c>
      <c r="DW9" s="3">
        <f t="shared" si="36"/>
        <v>0</v>
      </c>
      <c r="DX9" s="3">
        <f t="shared" si="37"/>
        <v>0</v>
      </c>
      <c r="DY9" s="3">
        <f t="shared" si="38"/>
        <v>0</v>
      </c>
      <c r="DZ9" s="3">
        <f t="shared" si="39"/>
        <v>0</v>
      </c>
      <c r="EA9" s="3">
        <f t="shared" si="40"/>
        <v>0</v>
      </c>
      <c r="EB9" s="3">
        <f t="shared" si="41"/>
        <v>0</v>
      </c>
      <c r="EC9" s="3">
        <f t="shared" si="42"/>
        <v>0</v>
      </c>
      <c r="ED9" s="3">
        <f t="shared" si="43"/>
        <v>0</v>
      </c>
      <c r="EE9" s="3">
        <f t="shared" si="44"/>
        <v>0</v>
      </c>
      <c r="EF9" s="3">
        <f t="shared" si="45"/>
        <v>0</v>
      </c>
      <c r="EG9" s="3">
        <f t="shared" si="46"/>
        <v>0</v>
      </c>
      <c r="EH9" s="3">
        <f t="shared" si="47"/>
        <v>0</v>
      </c>
      <c r="EI9" s="3">
        <f t="shared" si="48"/>
        <v>0</v>
      </c>
      <c r="EJ9" s="3">
        <f t="shared" si="49"/>
        <v>0</v>
      </c>
      <c r="EK9" s="3">
        <f t="shared" si="50"/>
        <v>0</v>
      </c>
      <c r="EL9" s="3">
        <f t="shared" si="51"/>
        <v>0</v>
      </c>
      <c r="EM9" s="3">
        <f t="shared" si="52"/>
        <v>0</v>
      </c>
      <c r="EN9" s="3">
        <f t="shared" si="53"/>
        <v>0</v>
      </c>
      <c r="EO9" s="3">
        <f t="shared" si="54"/>
        <v>0</v>
      </c>
      <c r="EP9" s="3">
        <f t="shared" si="55"/>
        <v>0</v>
      </c>
      <c r="EQ9" s="3">
        <f t="shared" si="56"/>
        <v>0</v>
      </c>
      <c r="ER9" s="3">
        <f t="shared" si="57"/>
        <v>0</v>
      </c>
      <c r="ES9" s="3">
        <f t="shared" si="58"/>
        <v>0</v>
      </c>
      <c r="ET9" s="3">
        <f t="shared" si="59"/>
        <v>0</v>
      </c>
      <c r="EU9" s="3">
        <f t="shared" si="60"/>
        <v>0</v>
      </c>
      <c r="EV9" s="3">
        <f t="shared" si="61"/>
        <v>0</v>
      </c>
      <c r="EW9" s="3">
        <f t="shared" si="62"/>
        <v>0</v>
      </c>
      <c r="EX9" s="3">
        <f t="shared" si="63"/>
        <v>0</v>
      </c>
      <c r="EY9" s="3">
        <f t="shared" si="64"/>
        <v>0</v>
      </c>
      <c r="EZ9" s="3">
        <f t="shared" si="65"/>
        <v>0</v>
      </c>
      <c r="FA9" s="3">
        <f t="shared" si="66"/>
        <v>0</v>
      </c>
      <c r="FB9" s="3">
        <f t="shared" si="67"/>
        <v>0</v>
      </c>
      <c r="FC9" s="3">
        <f t="shared" si="68"/>
        <v>0</v>
      </c>
      <c r="FD9" s="3">
        <f t="shared" si="69"/>
        <v>0</v>
      </c>
      <c r="FE9" s="3">
        <f t="shared" si="70"/>
        <v>0</v>
      </c>
      <c r="FF9" s="3">
        <f t="shared" si="71"/>
        <v>0</v>
      </c>
      <c r="FG9" s="3">
        <f t="shared" si="72"/>
        <v>0</v>
      </c>
      <c r="FH9" s="3">
        <f t="shared" si="73"/>
        <v>0</v>
      </c>
      <c r="FI9" s="3">
        <f t="shared" si="74"/>
        <v>0</v>
      </c>
      <c r="FJ9" s="3">
        <f t="shared" si="75"/>
        <v>0</v>
      </c>
      <c r="FK9" s="3">
        <f t="shared" si="76"/>
        <v>0</v>
      </c>
      <c r="FL9" s="3">
        <f t="shared" si="77"/>
        <v>0</v>
      </c>
      <c r="FM9" s="3">
        <f t="shared" si="78"/>
        <v>0</v>
      </c>
      <c r="FN9" s="3">
        <f t="shared" si="79"/>
        <v>0</v>
      </c>
      <c r="FO9" s="3">
        <f t="shared" si="80"/>
        <v>0</v>
      </c>
      <c r="FP9" s="3">
        <f t="shared" si="81"/>
        <v>0</v>
      </c>
      <c r="FQ9" s="3">
        <f t="shared" si="82"/>
        <v>0</v>
      </c>
      <c r="FR9" s="3">
        <f t="shared" si="83"/>
        <v>0</v>
      </c>
      <c r="FS9" s="3">
        <f t="shared" si="84"/>
        <v>0</v>
      </c>
      <c r="FT9" s="3">
        <f t="shared" si="85"/>
        <v>0</v>
      </c>
      <c r="FU9" s="3">
        <f t="shared" si="86"/>
        <v>0</v>
      </c>
      <c r="FV9" s="3">
        <f t="shared" si="87"/>
        <v>0</v>
      </c>
      <c r="FW9" s="3">
        <f t="shared" si="88"/>
        <v>0</v>
      </c>
      <c r="FX9" s="3" t="e">
        <f>#REF!</f>
        <v>#REF!</v>
      </c>
      <c r="FY9" s="3" t="e">
        <f t="shared" si="89"/>
        <v>#REF!</v>
      </c>
    </row>
    <row r="10" spans="1:181" ht="13.9" customHeight="1" x14ac:dyDescent="0.45">
      <c r="A10" s="8">
        <f t="shared" si="8"/>
        <v>8</v>
      </c>
      <c r="B10" s="8" t="s">
        <v>5</v>
      </c>
      <c r="C10" s="8">
        <v>4</v>
      </c>
      <c r="D10" s="8"/>
      <c r="E10" s="8"/>
      <c r="F10" s="8"/>
      <c r="G10" s="8"/>
      <c r="H10" s="8"/>
      <c r="I10" s="8"/>
      <c r="J10" s="8"/>
      <c r="K10" s="8">
        <v>4</v>
      </c>
      <c r="L10" s="8">
        <v>4</v>
      </c>
      <c r="M10" s="8"/>
      <c r="N10" s="8"/>
      <c r="O10" s="8">
        <f t="shared" si="9"/>
        <v>4</v>
      </c>
      <c r="P10" s="8">
        <f t="shared" si="10"/>
        <v>8</v>
      </c>
      <c r="Q10" s="8">
        <f t="shared" si="2"/>
        <v>12</v>
      </c>
      <c r="S10" s="8">
        <f t="shared" si="90"/>
        <v>8</v>
      </c>
      <c r="T10" s="8" t="str">
        <f t="shared" si="3"/>
        <v>حسين العثواني</v>
      </c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>
        <f t="shared" si="4"/>
        <v>0</v>
      </c>
      <c r="AH10" s="8">
        <f t="shared" si="5"/>
        <v>0</v>
      </c>
      <c r="AI10" s="8">
        <f t="shared" si="11"/>
        <v>0</v>
      </c>
      <c r="AJ10" s="11">
        <v>0</v>
      </c>
      <c r="AK10" s="8">
        <f t="shared" si="91"/>
        <v>8</v>
      </c>
      <c r="AL10" s="8" t="str">
        <f t="shared" si="6"/>
        <v>حسين العثواني</v>
      </c>
      <c r="AM10" s="8">
        <f t="shared" si="12"/>
        <v>4</v>
      </c>
      <c r="AN10" s="8">
        <f t="shared" si="13"/>
        <v>0</v>
      </c>
      <c r="AO10" s="8">
        <f t="shared" si="14"/>
        <v>0</v>
      </c>
      <c r="AP10" s="8">
        <f t="shared" si="15"/>
        <v>0</v>
      </c>
      <c r="AQ10" s="8">
        <f t="shared" si="16"/>
        <v>0</v>
      </c>
      <c r="AR10" s="8">
        <f t="shared" si="17"/>
        <v>0</v>
      </c>
      <c r="AS10" s="8">
        <f t="shared" si="18"/>
        <v>0</v>
      </c>
      <c r="AT10" s="8">
        <f t="shared" si="19"/>
        <v>0</v>
      </c>
      <c r="AU10" s="8">
        <f t="shared" si="20"/>
        <v>4</v>
      </c>
      <c r="AV10" s="8">
        <f t="shared" si="21"/>
        <v>4</v>
      </c>
      <c r="AW10" s="8">
        <f t="shared" si="22"/>
        <v>0</v>
      </c>
      <c r="AX10" s="8">
        <f t="shared" si="23"/>
        <v>0</v>
      </c>
      <c r="AY10" s="8">
        <f t="shared" si="24"/>
        <v>12</v>
      </c>
      <c r="AZ10" s="3">
        <f t="shared" si="25"/>
        <v>204</v>
      </c>
      <c r="BB10" s="3">
        <v>8</v>
      </c>
      <c r="BC10" s="3" t="s">
        <v>8</v>
      </c>
      <c r="BD10" s="4"/>
      <c r="BO10" s="5"/>
      <c r="BP10" s="4"/>
      <c r="CA10" s="5"/>
      <c r="CB10" s="4"/>
      <c r="CM10" s="5"/>
      <c r="CN10" s="4"/>
      <c r="CY10" s="5"/>
      <c r="CZ10" s="4"/>
      <c r="DK10" s="5"/>
      <c r="DL10" s="3">
        <f t="shared" si="26"/>
        <v>0</v>
      </c>
      <c r="DM10" s="3">
        <v>12</v>
      </c>
      <c r="DN10" s="3">
        <f t="shared" si="27"/>
        <v>12</v>
      </c>
      <c r="DO10" s="10">
        <f t="shared" si="28"/>
        <v>0</v>
      </c>
      <c r="DP10" s="3">
        <f t="shared" si="29"/>
        <v>0</v>
      </c>
      <c r="DQ10" s="3">
        <f t="shared" si="30"/>
        <v>0</v>
      </c>
      <c r="DR10" s="3">
        <f t="shared" si="31"/>
        <v>0</v>
      </c>
      <c r="DS10" s="3">
        <f t="shared" si="32"/>
        <v>0</v>
      </c>
      <c r="DT10" s="3">
        <f t="shared" si="33"/>
        <v>0</v>
      </c>
      <c r="DU10" s="3">
        <f t="shared" si="34"/>
        <v>0</v>
      </c>
      <c r="DV10" s="3">
        <f t="shared" si="35"/>
        <v>0</v>
      </c>
      <c r="DW10" s="3">
        <f t="shared" si="36"/>
        <v>0</v>
      </c>
      <c r="DX10" s="3">
        <f t="shared" si="37"/>
        <v>0</v>
      </c>
      <c r="DY10" s="3">
        <f t="shared" si="38"/>
        <v>0</v>
      </c>
      <c r="DZ10" s="3">
        <f t="shared" si="39"/>
        <v>0</v>
      </c>
      <c r="EA10" s="3">
        <f t="shared" si="40"/>
        <v>0</v>
      </c>
      <c r="EB10" s="3">
        <f t="shared" si="41"/>
        <v>0</v>
      </c>
      <c r="EC10" s="3">
        <f t="shared" si="42"/>
        <v>0</v>
      </c>
      <c r="ED10" s="3">
        <f t="shared" si="43"/>
        <v>0</v>
      </c>
      <c r="EE10" s="3">
        <f t="shared" si="44"/>
        <v>0</v>
      </c>
      <c r="EF10" s="3">
        <f t="shared" si="45"/>
        <v>0</v>
      </c>
      <c r="EG10" s="3">
        <f t="shared" si="46"/>
        <v>0</v>
      </c>
      <c r="EH10" s="3">
        <f t="shared" si="47"/>
        <v>0</v>
      </c>
      <c r="EI10" s="3">
        <f t="shared" si="48"/>
        <v>0</v>
      </c>
      <c r="EJ10" s="3">
        <f t="shared" si="49"/>
        <v>0</v>
      </c>
      <c r="EK10" s="3">
        <f t="shared" si="50"/>
        <v>0</v>
      </c>
      <c r="EL10" s="3">
        <f t="shared" si="51"/>
        <v>0</v>
      </c>
      <c r="EM10" s="3">
        <f t="shared" si="52"/>
        <v>0</v>
      </c>
      <c r="EN10" s="3">
        <f t="shared" si="53"/>
        <v>0</v>
      </c>
      <c r="EO10" s="3">
        <f t="shared" si="54"/>
        <v>0</v>
      </c>
      <c r="EP10" s="3">
        <f t="shared" si="55"/>
        <v>0</v>
      </c>
      <c r="EQ10" s="3">
        <f t="shared" si="56"/>
        <v>0</v>
      </c>
      <c r="ER10" s="3">
        <f t="shared" si="57"/>
        <v>0</v>
      </c>
      <c r="ES10" s="3">
        <f t="shared" si="58"/>
        <v>0</v>
      </c>
      <c r="ET10" s="3">
        <f t="shared" si="59"/>
        <v>0</v>
      </c>
      <c r="EU10" s="3">
        <f t="shared" si="60"/>
        <v>0</v>
      </c>
      <c r="EV10" s="3">
        <f t="shared" si="61"/>
        <v>0</v>
      </c>
      <c r="EW10" s="3">
        <f t="shared" si="62"/>
        <v>0</v>
      </c>
      <c r="EX10" s="3">
        <f t="shared" si="63"/>
        <v>0</v>
      </c>
      <c r="EY10" s="3">
        <f t="shared" si="64"/>
        <v>0</v>
      </c>
      <c r="EZ10" s="3">
        <f t="shared" si="65"/>
        <v>0</v>
      </c>
      <c r="FA10" s="3">
        <f t="shared" si="66"/>
        <v>0</v>
      </c>
      <c r="FB10" s="3">
        <f t="shared" si="67"/>
        <v>0</v>
      </c>
      <c r="FC10" s="3">
        <f t="shared" si="68"/>
        <v>0</v>
      </c>
      <c r="FD10" s="3">
        <f t="shared" si="69"/>
        <v>0</v>
      </c>
      <c r="FE10" s="3">
        <f t="shared" si="70"/>
        <v>0</v>
      </c>
      <c r="FF10" s="3">
        <f t="shared" si="71"/>
        <v>0</v>
      </c>
      <c r="FG10" s="3">
        <f t="shared" si="72"/>
        <v>0</v>
      </c>
      <c r="FH10" s="3">
        <f t="shared" si="73"/>
        <v>0</v>
      </c>
      <c r="FI10" s="3">
        <f t="shared" si="74"/>
        <v>0</v>
      </c>
      <c r="FJ10" s="3">
        <f t="shared" si="75"/>
        <v>0</v>
      </c>
      <c r="FK10" s="3">
        <f t="shared" si="76"/>
        <v>0</v>
      </c>
      <c r="FL10" s="3">
        <f t="shared" si="77"/>
        <v>0</v>
      </c>
      <c r="FM10" s="3">
        <f t="shared" si="78"/>
        <v>0</v>
      </c>
      <c r="FN10" s="3">
        <f t="shared" si="79"/>
        <v>0</v>
      </c>
      <c r="FO10" s="3">
        <f t="shared" si="80"/>
        <v>0</v>
      </c>
      <c r="FP10" s="3">
        <f t="shared" si="81"/>
        <v>0</v>
      </c>
      <c r="FQ10" s="3">
        <f t="shared" si="82"/>
        <v>0</v>
      </c>
      <c r="FR10" s="3">
        <f t="shared" si="83"/>
        <v>0</v>
      </c>
      <c r="FS10" s="3">
        <f t="shared" si="84"/>
        <v>0</v>
      </c>
      <c r="FT10" s="3">
        <f t="shared" si="85"/>
        <v>0</v>
      </c>
      <c r="FU10" s="3">
        <f t="shared" si="86"/>
        <v>0</v>
      </c>
      <c r="FV10" s="3">
        <f t="shared" si="87"/>
        <v>0</v>
      </c>
      <c r="FW10" s="3">
        <f t="shared" si="88"/>
        <v>0</v>
      </c>
      <c r="FX10" s="3" t="e">
        <f>#REF!</f>
        <v>#REF!</v>
      </c>
      <c r="FY10" s="3" t="e">
        <f t="shared" si="89"/>
        <v>#REF!</v>
      </c>
    </row>
    <row r="11" spans="1:181" ht="13.9" customHeight="1" x14ac:dyDescent="0.45">
      <c r="A11" s="8">
        <f t="shared" si="8"/>
        <v>9</v>
      </c>
      <c r="B11" s="8" t="s">
        <v>39</v>
      </c>
      <c r="C11" s="8"/>
      <c r="D11" s="8"/>
      <c r="E11" s="8">
        <v>6</v>
      </c>
      <c r="F11" s="8">
        <v>6</v>
      </c>
      <c r="G11" s="8"/>
      <c r="H11" s="8"/>
      <c r="I11" s="8"/>
      <c r="J11" s="8"/>
      <c r="K11" s="8"/>
      <c r="L11" s="8"/>
      <c r="M11" s="8"/>
      <c r="N11" s="8"/>
      <c r="O11" s="8">
        <f t="shared" si="9"/>
        <v>12</v>
      </c>
      <c r="P11" s="8">
        <f t="shared" si="10"/>
        <v>0</v>
      </c>
      <c r="Q11" s="8">
        <f t="shared" si="2"/>
        <v>12</v>
      </c>
      <c r="S11" s="8">
        <f t="shared" si="90"/>
        <v>9</v>
      </c>
      <c r="T11" s="8" t="str">
        <f t="shared" si="3"/>
        <v>احمد يحيى</v>
      </c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>
        <f t="shared" si="4"/>
        <v>0</v>
      </c>
      <c r="AH11" s="8">
        <f t="shared" si="5"/>
        <v>0</v>
      </c>
      <c r="AI11" s="8">
        <f t="shared" si="11"/>
        <v>0</v>
      </c>
      <c r="AJ11" s="11">
        <v>0</v>
      </c>
      <c r="AK11" s="8">
        <f t="shared" si="91"/>
        <v>9</v>
      </c>
      <c r="AL11" s="8" t="str">
        <f t="shared" si="6"/>
        <v>احمد يحيى</v>
      </c>
      <c r="AM11" s="8">
        <f t="shared" si="12"/>
        <v>0</v>
      </c>
      <c r="AN11" s="8">
        <f t="shared" si="13"/>
        <v>0</v>
      </c>
      <c r="AO11" s="8">
        <f t="shared" si="14"/>
        <v>6</v>
      </c>
      <c r="AP11" s="8">
        <f t="shared" si="15"/>
        <v>6</v>
      </c>
      <c r="AQ11" s="8">
        <f t="shared" si="16"/>
        <v>0</v>
      </c>
      <c r="AR11" s="8">
        <f t="shared" si="17"/>
        <v>0</v>
      </c>
      <c r="AS11" s="8">
        <f t="shared" si="18"/>
        <v>0</v>
      </c>
      <c r="AT11" s="8">
        <f t="shared" si="19"/>
        <v>0</v>
      </c>
      <c r="AU11" s="8">
        <f t="shared" si="20"/>
        <v>0</v>
      </c>
      <c r="AV11" s="8">
        <f t="shared" si="21"/>
        <v>0</v>
      </c>
      <c r="AW11" s="8">
        <f t="shared" si="22"/>
        <v>0</v>
      </c>
      <c r="AX11" s="8">
        <f t="shared" si="23"/>
        <v>0</v>
      </c>
      <c r="AY11" s="8">
        <f t="shared" si="24"/>
        <v>12</v>
      </c>
      <c r="AZ11" s="3">
        <f t="shared" si="25"/>
        <v>204</v>
      </c>
      <c r="BB11" s="3">
        <v>9</v>
      </c>
      <c r="BC11" s="3" t="s">
        <v>9</v>
      </c>
      <c r="BD11" s="4"/>
      <c r="BO11" s="5"/>
      <c r="BP11" s="4"/>
      <c r="CA11" s="5"/>
      <c r="CB11" s="4"/>
      <c r="CM11" s="5"/>
      <c r="CN11" s="4"/>
      <c r="CY11" s="5"/>
      <c r="CZ11" s="4"/>
      <c r="DK11" s="5"/>
      <c r="DL11" s="3">
        <f t="shared" si="26"/>
        <v>0</v>
      </c>
      <c r="DM11" s="3">
        <v>12</v>
      </c>
      <c r="DN11" s="3">
        <f t="shared" si="27"/>
        <v>12</v>
      </c>
      <c r="DO11" s="10">
        <f t="shared" si="28"/>
        <v>0</v>
      </c>
      <c r="DP11" s="3">
        <f t="shared" si="29"/>
        <v>0</v>
      </c>
      <c r="DQ11" s="3">
        <f t="shared" si="30"/>
        <v>0</v>
      </c>
      <c r="DR11" s="3">
        <f t="shared" si="31"/>
        <v>0</v>
      </c>
      <c r="DS11" s="3">
        <f t="shared" si="32"/>
        <v>0</v>
      </c>
      <c r="DT11" s="3">
        <f t="shared" si="33"/>
        <v>0</v>
      </c>
      <c r="DU11" s="3">
        <f t="shared" si="34"/>
        <v>0</v>
      </c>
      <c r="DV11" s="3">
        <f t="shared" si="35"/>
        <v>0</v>
      </c>
      <c r="DW11" s="3">
        <f t="shared" si="36"/>
        <v>0</v>
      </c>
      <c r="DX11" s="3">
        <f t="shared" si="37"/>
        <v>0</v>
      </c>
      <c r="DY11" s="3">
        <f t="shared" si="38"/>
        <v>0</v>
      </c>
      <c r="DZ11" s="3">
        <f t="shared" si="39"/>
        <v>0</v>
      </c>
      <c r="EA11" s="3">
        <f t="shared" si="40"/>
        <v>0</v>
      </c>
      <c r="EB11" s="3">
        <f t="shared" si="41"/>
        <v>0</v>
      </c>
      <c r="EC11" s="3">
        <f t="shared" si="42"/>
        <v>0</v>
      </c>
      <c r="ED11" s="3">
        <f t="shared" si="43"/>
        <v>0</v>
      </c>
      <c r="EE11" s="3">
        <f t="shared" si="44"/>
        <v>0</v>
      </c>
      <c r="EF11" s="3">
        <f t="shared" si="45"/>
        <v>0</v>
      </c>
      <c r="EG11" s="3">
        <f t="shared" si="46"/>
        <v>0</v>
      </c>
      <c r="EH11" s="3">
        <f t="shared" si="47"/>
        <v>0</v>
      </c>
      <c r="EI11" s="3">
        <f t="shared" si="48"/>
        <v>0</v>
      </c>
      <c r="EJ11" s="3">
        <f t="shared" si="49"/>
        <v>0</v>
      </c>
      <c r="EK11" s="3">
        <f t="shared" si="50"/>
        <v>0</v>
      </c>
      <c r="EL11" s="3">
        <f t="shared" si="51"/>
        <v>0</v>
      </c>
      <c r="EM11" s="3">
        <f t="shared" si="52"/>
        <v>0</v>
      </c>
      <c r="EN11" s="3">
        <f t="shared" si="53"/>
        <v>0</v>
      </c>
      <c r="EO11" s="3">
        <f t="shared" si="54"/>
        <v>0</v>
      </c>
      <c r="EP11" s="3">
        <f t="shared" si="55"/>
        <v>0</v>
      </c>
      <c r="EQ11" s="3">
        <f t="shared" si="56"/>
        <v>0</v>
      </c>
      <c r="ER11" s="3">
        <f t="shared" si="57"/>
        <v>0</v>
      </c>
      <c r="ES11" s="3">
        <f t="shared" si="58"/>
        <v>0</v>
      </c>
      <c r="ET11" s="3">
        <f t="shared" si="59"/>
        <v>0</v>
      </c>
      <c r="EU11" s="3">
        <f t="shared" si="60"/>
        <v>0</v>
      </c>
      <c r="EV11" s="3">
        <f t="shared" si="61"/>
        <v>0</v>
      </c>
      <c r="EW11" s="3">
        <f t="shared" si="62"/>
        <v>0</v>
      </c>
      <c r="EX11" s="3">
        <f t="shared" si="63"/>
        <v>0</v>
      </c>
      <c r="EY11" s="3">
        <f t="shared" si="64"/>
        <v>0</v>
      </c>
      <c r="EZ11" s="3">
        <f t="shared" si="65"/>
        <v>0</v>
      </c>
      <c r="FA11" s="3">
        <f t="shared" si="66"/>
        <v>0</v>
      </c>
      <c r="FB11" s="3">
        <f t="shared" si="67"/>
        <v>0</v>
      </c>
      <c r="FC11" s="3">
        <f t="shared" si="68"/>
        <v>0</v>
      </c>
      <c r="FD11" s="3">
        <f t="shared" si="69"/>
        <v>0</v>
      </c>
      <c r="FE11" s="3">
        <f t="shared" si="70"/>
        <v>0</v>
      </c>
      <c r="FF11" s="3">
        <f t="shared" si="71"/>
        <v>0</v>
      </c>
      <c r="FG11" s="3">
        <f t="shared" si="72"/>
        <v>0</v>
      </c>
      <c r="FH11" s="3">
        <f t="shared" si="73"/>
        <v>0</v>
      </c>
      <c r="FI11" s="3">
        <f t="shared" si="74"/>
        <v>0</v>
      </c>
      <c r="FJ11" s="3">
        <f t="shared" si="75"/>
        <v>0</v>
      </c>
      <c r="FK11" s="3">
        <f t="shared" si="76"/>
        <v>0</v>
      </c>
      <c r="FL11" s="3">
        <f t="shared" si="77"/>
        <v>0</v>
      </c>
      <c r="FM11" s="3">
        <f t="shared" si="78"/>
        <v>0</v>
      </c>
      <c r="FN11" s="3">
        <f t="shared" si="79"/>
        <v>0</v>
      </c>
      <c r="FO11" s="3">
        <f t="shared" si="80"/>
        <v>0</v>
      </c>
      <c r="FP11" s="3">
        <f t="shared" si="81"/>
        <v>0</v>
      </c>
      <c r="FQ11" s="3">
        <f t="shared" si="82"/>
        <v>0</v>
      </c>
      <c r="FR11" s="3">
        <f t="shared" si="83"/>
        <v>0</v>
      </c>
      <c r="FS11" s="3">
        <f t="shared" si="84"/>
        <v>0</v>
      </c>
      <c r="FT11" s="3">
        <f t="shared" si="85"/>
        <v>0</v>
      </c>
      <c r="FU11" s="3">
        <f t="shared" si="86"/>
        <v>0</v>
      </c>
      <c r="FV11" s="3">
        <f t="shared" si="87"/>
        <v>0</v>
      </c>
      <c r="FW11" s="3">
        <f t="shared" si="88"/>
        <v>0</v>
      </c>
      <c r="FX11" s="3" t="e">
        <f>#REF!</f>
        <v>#REF!</v>
      </c>
      <c r="FY11" s="3" t="e">
        <f t="shared" si="89"/>
        <v>#REF!</v>
      </c>
    </row>
    <row r="12" spans="1:181" ht="13.9" customHeight="1" x14ac:dyDescent="0.45">
      <c r="A12" s="8">
        <f t="shared" si="8"/>
        <v>10</v>
      </c>
      <c r="B12" s="8" t="s">
        <v>43</v>
      </c>
      <c r="C12" s="8">
        <v>3</v>
      </c>
      <c r="D12" s="8"/>
      <c r="E12" s="8">
        <v>3</v>
      </c>
      <c r="F12" s="8">
        <v>3</v>
      </c>
      <c r="G12" s="8"/>
      <c r="H12" s="8"/>
      <c r="I12" s="8"/>
      <c r="J12" s="8"/>
      <c r="K12" s="8"/>
      <c r="L12" s="8"/>
      <c r="M12" s="8"/>
      <c r="N12" s="8"/>
      <c r="O12" s="8">
        <f t="shared" si="9"/>
        <v>9</v>
      </c>
      <c r="P12" s="8">
        <f t="shared" si="10"/>
        <v>0</v>
      </c>
      <c r="Q12" s="8">
        <f t="shared" si="2"/>
        <v>9</v>
      </c>
      <c r="S12" s="8">
        <f t="shared" si="90"/>
        <v>10</v>
      </c>
      <c r="T12" s="8" t="str">
        <f t="shared" si="3"/>
        <v>سالم حردان</v>
      </c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>
        <f t="shared" si="4"/>
        <v>0</v>
      </c>
      <c r="AH12" s="8">
        <f t="shared" si="5"/>
        <v>0</v>
      </c>
      <c r="AI12" s="8">
        <f t="shared" si="11"/>
        <v>0</v>
      </c>
      <c r="AJ12" s="11">
        <v>5</v>
      </c>
      <c r="AK12" s="8">
        <f t="shared" si="91"/>
        <v>10</v>
      </c>
      <c r="AL12" s="8" t="str">
        <f t="shared" si="6"/>
        <v>سالم حردان</v>
      </c>
      <c r="AM12" s="8">
        <f t="shared" si="12"/>
        <v>3</v>
      </c>
      <c r="AN12" s="8">
        <f t="shared" si="13"/>
        <v>0</v>
      </c>
      <c r="AO12" s="8">
        <f t="shared" si="14"/>
        <v>3</v>
      </c>
      <c r="AP12" s="8">
        <f t="shared" si="15"/>
        <v>3</v>
      </c>
      <c r="AQ12" s="8">
        <f t="shared" si="16"/>
        <v>0</v>
      </c>
      <c r="AR12" s="8">
        <f t="shared" si="17"/>
        <v>0</v>
      </c>
      <c r="AS12" s="8">
        <f t="shared" si="18"/>
        <v>0</v>
      </c>
      <c r="AT12" s="8">
        <f t="shared" si="19"/>
        <v>0</v>
      </c>
      <c r="AU12" s="8">
        <f t="shared" si="20"/>
        <v>0</v>
      </c>
      <c r="AV12" s="8">
        <f t="shared" si="21"/>
        <v>0</v>
      </c>
      <c r="AW12" s="8">
        <f t="shared" si="22"/>
        <v>0</v>
      </c>
      <c r="AX12" s="8">
        <f t="shared" si="23"/>
        <v>0</v>
      </c>
      <c r="AY12" s="8">
        <f t="shared" si="24"/>
        <v>9</v>
      </c>
      <c r="AZ12" s="3">
        <f t="shared" si="25"/>
        <v>135</v>
      </c>
      <c r="BB12" s="3">
        <v>11</v>
      </c>
      <c r="BC12" s="3" t="s">
        <v>10</v>
      </c>
      <c r="BD12" s="4"/>
      <c r="BO12" s="5"/>
      <c r="BP12" s="4"/>
      <c r="CA12" s="5"/>
      <c r="CB12" s="4"/>
      <c r="CM12" s="5"/>
      <c r="CN12" s="4"/>
      <c r="CY12" s="5"/>
      <c r="CZ12" s="4"/>
      <c r="DK12" s="5"/>
      <c r="DL12" s="3">
        <f t="shared" si="26"/>
        <v>0</v>
      </c>
      <c r="DM12" s="3">
        <v>17</v>
      </c>
      <c r="DN12" s="3">
        <f t="shared" si="27"/>
        <v>17</v>
      </c>
      <c r="DO12" s="10">
        <f t="shared" si="28"/>
        <v>0</v>
      </c>
      <c r="DP12" s="3">
        <f t="shared" si="29"/>
        <v>0</v>
      </c>
      <c r="DQ12" s="3">
        <f t="shared" si="30"/>
        <v>0</v>
      </c>
      <c r="DR12" s="3">
        <f t="shared" si="31"/>
        <v>0</v>
      </c>
      <c r="DS12" s="3">
        <f t="shared" si="32"/>
        <v>0</v>
      </c>
      <c r="DT12" s="3">
        <f t="shared" si="33"/>
        <v>0</v>
      </c>
      <c r="DU12" s="3">
        <f t="shared" si="34"/>
        <v>0</v>
      </c>
      <c r="DV12" s="3">
        <f t="shared" si="35"/>
        <v>0</v>
      </c>
      <c r="DW12" s="3">
        <f t="shared" si="36"/>
        <v>0</v>
      </c>
      <c r="DX12" s="3">
        <f t="shared" si="37"/>
        <v>0</v>
      </c>
      <c r="DY12" s="3">
        <f t="shared" si="38"/>
        <v>0</v>
      </c>
      <c r="DZ12" s="3">
        <f t="shared" si="39"/>
        <v>0</v>
      </c>
      <c r="EA12" s="3">
        <f t="shared" si="40"/>
        <v>0</v>
      </c>
      <c r="EB12" s="3">
        <f t="shared" si="41"/>
        <v>0</v>
      </c>
      <c r="EC12" s="3">
        <f t="shared" si="42"/>
        <v>0</v>
      </c>
      <c r="ED12" s="3">
        <f t="shared" si="43"/>
        <v>0</v>
      </c>
      <c r="EE12" s="3">
        <f t="shared" si="44"/>
        <v>0</v>
      </c>
      <c r="EF12" s="3">
        <f t="shared" si="45"/>
        <v>0</v>
      </c>
      <c r="EG12" s="3">
        <f t="shared" si="46"/>
        <v>0</v>
      </c>
      <c r="EH12" s="3">
        <f t="shared" si="47"/>
        <v>0</v>
      </c>
      <c r="EI12" s="3">
        <f t="shared" si="48"/>
        <v>0</v>
      </c>
      <c r="EJ12" s="3">
        <f t="shared" si="49"/>
        <v>0</v>
      </c>
      <c r="EK12" s="3">
        <f t="shared" si="50"/>
        <v>0</v>
      </c>
      <c r="EL12" s="3">
        <f t="shared" si="51"/>
        <v>0</v>
      </c>
      <c r="EM12" s="3">
        <f t="shared" si="52"/>
        <v>0</v>
      </c>
      <c r="EN12" s="3">
        <f t="shared" si="53"/>
        <v>0</v>
      </c>
      <c r="EO12" s="3">
        <f t="shared" si="54"/>
        <v>0</v>
      </c>
      <c r="EP12" s="3">
        <f t="shared" si="55"/>
        <v>0</v>
      </c>
      <c r="EQ12" s="3">
        <f t="shared" si="56"/>
        <v>0</v>
      </c>
      <c r="ER12" s="3">
        <f t="shared" si="57"/>
        <v>0</v>
      </c>
      <c r="ES12" s="3">
        <f t="shared" si="58"/>
        <v>0</v>
      </c>
      <c r="ET12" s="3">
        <f t="shared" si="59"/>
        <v>0</v>
      </c>
      <c r="EU12" s="3">
        <f t="shared" si="60"/>
        <v>0</v>
      </c>
      <c r="EV12" s="3">
        <f t="shared" si="61"/>
        <v>0</v>
      </c>
      <c r="EW12" s="3">
        <f t="shared" si="62"/>
        <v>0</v>
      </c>
      <c r="EX12" s="3">
        <f t="shared" si="63"/>
        <v>0</v>
      </c>
      <c r="EY12" s="3">
        <f t="shared" si="64"/>
        <v>0</v>
      </c>
      <c r="EZ12" s="3">
        <f t="shared" si="65"/>
        <v>0</v>
      </c>
      <c r="FA12" s="3">
        <f t="shared" si="66"/>
        <v>0</v>
      </c>
      <c r="FB12" s="3">
        <f t="shared" si="67"/>
        <v>0</v>
      </c>
      <c r="FC12" s="3">
        <f t="shared" si="68"/>
        <v>0</v>
      </c>
      <c r="FD12" s="3">
        <f t="shared" si="69"/>
        <v>0</v>
      </c>
      <c r="FE12" s="3">
        <f t="shared" si="70"/>
        <v>0</v>
      </c>
      <c r="FF12" s="3">
        <f t="shared" si="71"/>
        <v>0</v>
      </c>
      <c r="FG12" s="3">
        <f t="shared" si="72"/>
        <v>0</v>
      </c>
      <c r="FH12" s="3">
        <f t="shared" si="73"/>
        <v>0</v>
      </c>
      <c r="FI12" s="3">
        <f t="shared" si="74"/>
        <v>0</v>
      </c>
      <c r="FJ12" s="3">
        <f t="shared" si="75"/>
        <v>0</v>
      </c>
      <c r="FK12" s="3">
        <f t="shared" si="76"/>
        <v>0</v>
      </c>
      <c r="FL12" s="3">
        <f t="shared" si="77"/>
        <v>0</v>
      </c>
      <c r="FM12" s="3">
        <f t="shared" si="78"/>
        <v>0</v>
      </c>
      <c r="FN12" s="3">
        <f t="shared" si="79"/>
        <v>0</v>
      </c>
      <c r="FO12" s="3">
        <f t="shared" si="80"/>
        <v>0</v>
      </c>
      <c r="FP12" s="3">
        <f t="shared" si="81"/>
        <v>0</v>
      </c>
      <c r="FQ12" s="3">
        <f t="shared" si="82"/>
        <v>0</v>
      </c>
      <c r="FR12" s="3">
        <f t="shared" si="83"/>
        <v>0</v>
      </c>
      <c r="FS12" s="3">
        <f t="shared" si="84"/>
        <v>0</v>
      </c>
      <c r="FT12" s="3">
        <f t="shared" si="85"/>
        <v>0</v>
      </c>
      <c r="FU12" s="3">
        <f t="shared" si="86"/>
        <v>0</v>
      </c>
      <c r="FV12" s="3">
        <f t="shared" si="87"/>
        <v>0</v>
      </c>
      <c r="FW12" s="3">
        <f t="shared" si="88"/>
        <v>0</v>
      </c>
      <c r="FX12" s="3" t="e">
        <f>#REF!</f>
        <v>#REF!</v>
      </c>
      <c r="FY12" s="3" t="e">
        <f t="shared" si="89"/>
        <v>#REF!</v>
      </c>
    </row>
    <row r="13" spans="1:181" ht="13.9" customHeight="1" x14ac:dyDescent="0.45">
      <c r="A13" s="8">
        <f t="shared" si="8"/>
        <v>11</v>
      </c>
      <c r="B13" s="8" t="s">
        <v>8</v>
      </c>
      <c r="C13" s="8">
        <v>2</v>
      </c>
      <c r="D13" s="8"/>
      <c r="E13" s="8">
        <v>2</v>
      </c>
      <c r="F13" s="8">
        <v>2</v>
      </c>
      <c r="G13" s="8">
        <v>2</v>
      </c>
      <c r="H13" s="8">
        <v>2</v>
      </c>
      <c r="I13" s="8"/>
      <c r="J13" s="8"/>
      <c r="K13" s="8"/>
      <c r="L13" s="8"/>
      <c r="M13" s="8"/>
      <c r="N13" s="8"/>
      <c r="O13" s="8">
        <f t="shared" si="9"/>
        <v>10</v>
      </c>
      <c r="P13" s="8">
        <f t="shared" si="10"/>
        <v>0</v>
      </c>
      <c r="Q13" s="8">
        <f t="shared" si="2"/>
        <v>10</v>
      </c>
      <c r="S13" s="8">
        <f t="shared" si="90"/>
        <v>11</v>
      </c>
      <c r="T13" s="8" t="str">
        <f t="shared" si="3"/>
        <v>الفيدلي</v>
      </c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>
        <f t="shared" si="4"/>
        <v>0</v>
      </c>
      <c r="AH13" s="8">
        <f t="shared" si="5"/>
        <v>0</v>
      </c>
      <c r="AI13" s="8">
        <f t="shared" si="11"/>
        <v>0</v>
      </c>
      <c r="AJ13" s="11">
        <v>3</v>
      </c>
      <c r="AK13" s="8">
        <f t="shared" si="91"/>
        <v>11</v>
      </c>
      <c r="AL13" s="8" t="str">
        <f t="shared" si="6"/>
        <v>الفيدلي</v>
      </c>
      <c r="AM13" s="8">
        <f t="shared" si="12"/>
        <v>2</v>
      </c>
      <c r="AN13" s="8">
        <f t="shared" si="13"/>
        <v>0</v>
      </c>
      <c r="AO13" s="8">
        <f t="shared" si="14"/>
        <v>2</v>
      </c>
      <c r="AP13" s="8">
        <f t="shared" si="15"/>
        <v>2</v>
      </c>
      <c r="AQ13" s="8">
        <f t="shared" si="16"/>
        <v>2</v>
      </c>
      <c r="AR13" s="8">
        <f t="shared" si="17"/>
        <v>2</v>
      </c>
      <c r="AS13" s="8">
        <f t="shared" si="18"/>
        <v>0</v>
      </c>
      <c r="AT13" s="8">
        <f t="shared" si="19"/>
        <v>0</v>
      </c>
      <c r="AU13" s="8">
        <f t="shared" si="20"/>
        <v>0</v>
      </c>
      <c r="AV13" s="8">
        <f t="shared" si="21"/>
        <v>0</v>
      </c>
      <c r="AW13" s="8">
        <f t="shared" si="22"/>
        <v>0</v>
      </c>
      <c r="AX13" s="8">
        <f t="shared" si="23"/>
        <v>0</v>
      </c>
      <c r="AY13" s="8">
        <f t="shared" si="24"/>
        <v>10</v>
      </c>
      <c r="AZ13" s="3">
        <f t="shared" si="25"/>
        <v>162</v>
      </c>
      <c r="BB13" s="3">
        <v>12</v>
      </c>
      <c r="BC13" s="3" t="s">
        <v>11</v>
      </c>
      <c r="BD13" s="4"/>
      <c r="BO13" s="5"/>
      <c r="BP13" s="4"/>
      <c r="CA13" s="5"/>
      <c r="CB13" s="4"/>
      <c r="CM13" s="5"/>
      <c r="CN13" s="4"/>
      <c r="CY13" s="5"/>
      <c r="CZ13" s="4"/>
      <c r="DK13" s="5"/>
      <c r="DL13" s="3">
        <f t="shared" si="26"/>
        <v>0</v>
      </c>
      <c r="DM13" s="3">
        <v>17</v>
      </c>
      <c r="DN13" s="3">
        <f t="shared" si="27"/>
        <v>17</v>
      </c>
      <c r="DO13" s="10">
        <f t="shared" si="28"/>
        <v>0</v>
      </c>
      <c r="DP13" s="3">
        <f t="shared" si="29"/>
        <v>0</v>
      </c>
      <c r="DQ13" s="3">
        <f t="shared" si="30"/>
        <v>0</v>
      </c>
      <c r="DR13" s="3">
        <f t="shared" si="31"/>
        <v>0</v>
      </c>
      <c r="DS13" s="3">
        <f t="shared" si="32"/>
        <v>0</v>
      </c>
      <c r="DT13" s="3">
        <f t="shared" si="33"/>
        <v>0</v>
      </c>
      <c r="DU13" s="3">
        <f t="shared" si="34"/>
        <v>0</v>
      </c>
      <c r="DV13" s="3">
        <f t="shared" si="35"/>
        <v>0</v>
      </c>
      <c r="DW13" s="3">
        <f t="shared" si="36"/>
        <v>0</v>
      </c>
      <c r="DX13" s="3">
        <f t="shared" si="37"/>
        <v>0</v>
      </c>
      <c r="DY13" s="3">
        <f t="shared" si="38"/>
        <v>0</v>
      </c>
      <c r="DZ13" s="3">
        <f t="shared" si="39"/>
        <v>0</v>
      </c>
      <c r="EA13" s="3">
        <f t="shared" si="40"/>
        <v>0</v>
      </c>
      <c r="EB13" s="3">
        <f t="shared" si="41"/>
        <v>0</v>
      </c>
      <c r="EC13" s="3">
        <f t="shared" si="42"/>
        <v>0</v>
      </c>
      <c r="ED13" s="3">
        <f t="shared" si="43"/>
        <v>0</v>
      </c>
      <c r="EE13" s="3">
        <f t="shared" si="44"/>
        <v>0</v>
      </c>
      <c r="EF13" s="3">
        <f t="shared" si="45"/>
        <v>0</v>
      </c>
      <c r="EG13" s="3">
        <f t="shared" si="46"/>
        <v>0</v>
      </c>
      <c r="EH13" s="3">
        <f t="shared" si="47"/>
        <v>0</v>
      </c>
      <c r="EI13" s="3">
        <f t="shared" si="48"/>
        <v>0</v>
      </c>
      <c r="EJ13" s="3">
        <f t="shared" si="49"/>
        <v>0</v>
      </c>
      <c r="EK13" s="3">
        <f t="shared" si="50"/>
        <v>0</v>
      </c>
      <c r="EL13" s="3">
        <f t="shared" si="51"/>
        <v>0</v>
      </c>
      <c r="EM13" s="3">
        <f t="shared" si="52"/>
        <v>0</v>
      </c>
      <c r="EN13" s="3">
        <f t="shared" si="53"/>
        <v>0</v>
      </c>
      <c r="EO13" s="3">
        <f t="shared" si="54"/>
        <v>0</v>
      </c>
      <c r="EP13" s="3">
        <f t="shared" si="55"/>
        <v>0</v>
      </c>
      <c r="EQ13" s="3">
        <f t="shared" si="56"/>
        <v>0</v>
      </c>
      <c r="ER13" s="3">
        <f t="shared" si="57"/>
        <v>0</v>
      </c>
      <c r="ES13" s="3">
        <f t="shared" si="58"/>
        <v>0</v>
      </c>
      <c r="ET13" s="3">
        <f t="shared" si="59"/>
        <v>0</v>
      </c>
      <c r="EU13" s="3">
        <f t="shared" si="60"/>
        <v>0</v>
      </c>
      <c r="EV13" s="3">
        <f t="shared" si="61"/>
        <v>0</v>
      </c>
      <c r="EW13" s="3">
        <f t="shared" si="62"/>
        <v>0</v>
      </c>
      <c r="EX13" s="3">
        <f t="shared" si="63"/>
        <v>0</v>
      </c>
      <c r="EY13" s="3">
        <f t="shared" si="64"/>
        <v>0</v>
      </c>
      <c r="EZ13" s="3">
        <f t="shared" si="65"/>
        <v>0</v>
      </c>
      <c r="FA13" s="3">
        <f t="shared" si="66"/>
        <v>0</v>
      </c>
      <c r="FB13" s="3">
        <f t="shared" si="67"/>
        <v>0</v>
      </c>
      <c r="FC13" s="3">
        <f t="shared" si="68"/>
        <v>0</v>
      </c>
      <c r="FD13" s="3">
        <f t="shared" si="69"/>
        <v>0</v>
      </c>
      <c r="FE13" s="3">
        <f t="shared" si="70"/>
        <v>0</v>
      </c>
      <c r="FF13" s="3">
        <f t="shared" si="71"/>
        <v>0</v>
      </c>
      <c r="FG13" s="3">
        <f t="shared" si="72"/>
        <v>0</v>
      </c>
      <c r="FH13" s="3">
        <f t="shared" si="73"/>
        <v>0</v>
      </c>
      <c r="FI13" s="3">
        <f t="shared" si="74"/>
        <v>0</v>
      </c>
      <c r="FJ13" s="3">
        <f t="shared" si="75"/>
        <v>0</v>
      </c>
      <c r="FK13" s="3">
        <f t="shared" si="76"/>
        <v>0</v>
      </c>
      <c r="FL13" s="3">
        <f t="shared" si="77"/>
        <v>0</v>
      </c>
      <c r="FM13" s="3">
        <f t="shared" si="78"/>
        <v>0</v>
      </c>
      <c r="FN13" s="3">
        <f t="shared" si="79"/>
        <v>0</v>
      </c>
      <c r="FO13" s="3">
        <f t="shared" si="80"/>
        <v>0</v>
      </c>
      <c r="FP13" s="3">
        <f t="shared" si="81"/>
        <v>0</v>
      </c>
      <c r="FQ13" s="3">
        <f t="shared" si="82"/>
        <v>0</v>
      </c>
      <c r="FR13" s="3">
        <f t="shared" si="83"/>
        <v>0</v>
      </c>
      <c r="FS13" s="3">
        <f t="shared" si="84"/>
        <v>0</v>
      </c>
      <c r="FT13" s="3">
        <f t="shared" si="85"/>
        <v>0</v>
      </c>
      <c r="FU13" s="3">
        <f t="shared" si="86"/>
        <v>0</v>
      </c>
      <c r="FV13" s="3">
        <f t="shared" si="87"/>
        <v>0</v>
      </c>
      <c r="FW13" s="3">
        <f t="shared" si="88"/>
        <v>0</v>
      </c>
      <c r="FX13" s="3" t="e">
        <f>#REF!</f>
        <v>#REF!</v>
      </c>
      <c r="FY13" s="3" t="e">
        <f t="shared" si="89"/>
        <v>#REF!</v>
      </c>
    </row>
    <row r="14" spans="1:181" ht="13.9" customHeight="1" x14ac:dyDescent="0.45">
      <c r="A14" s="8">
        <f t="shared" si="8"/>
        <v>12</v>
      </c>
      <c r="B14" s="8" t="s">
        <v>9</v>
      </c>
      <c r="C14" s="8"/>
      <c r="D14" s="8"/>
      <c r="E14" s="8"/>
      <c r="F14" s="8"/>
      <c r="G14" s="8">
        <v>4</v>
      </c>
      <c r="H14" s="8">
        <v>4</v>
      </c>
      <c r="I14" s="8">
        <v>5</v>
      </c>
      <c r="J14" s="8">
        <v>5</v>
      </c>
      <c r="K14" s="8"/>
      <c r="L14" s="8"/>
      <c r="M14" s="8"/>
      <c r="N14" s="8"/>
      <c r="O14" s="8">
        <f t="shared" si="9"/>
        <v>8</v>
      </c>
      <c r="P14" s="8">
        <f t="shared" si="10"/>
        <v>10</v>
      </c>
      <c r="Q14" s="8">
        <f t="shared" si="2"/>
        <v>18</v>
      </c>
      <c r="S14" s="8">
        <f t="shared" si="90"/>
        <v>12</v>
      </c>
      <c r="T14" s="8" t="str">
        <f t="shared" si="3"/>
        <v>يحيى العزي</v>
      </c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>
        <f t="shared" si="4"/>
        <v>0</v>
      </c>
      <c r="AH14" s="8">
        <f t="shared" si="5"/>
        <v>0</v>
      </c>
      <c r="AI14" s="8">
        <f t="shared" si="11"/>
        <v>0</v>
      </c>
      <c r="AJ14" s="11">
        <v>1</v>
      </c>
      <c r="AK14" s="8">
        <f t="shared" si="91"/>
        <v>12</v>
      </c>
      <c r="AL14" s="8" t="str">
        <f t="shared" si="6"/>
        <v>يحيى العزي</v>
      </c>
      <c r="AM14" s="8">
        <f t="shared" si="12"/>
        <v>0</v>
      </c>
      <c r="AN14" s="8">
        <f t="shared" si="13"/>
        <v>0</v>
      </c>
      <c r="AO14" s="8">
        <f t="shared" si="14"/>
        <v>0</v>
      </c>
      <c r="AP14" s="8">
        <f t="shared" si="15"/>
        <v>0</v>
      </c>
      <c r="AQ14" s="8">
        <f t="shared" si="16"/>
        <v>4</v>
      </c>
      <c r="AR14" s="8">
        <f t="shared" si="17"/>
        <v>4</v>
      </c>
      <c r="AS14" s="8">
        <f t="shared" si="18"/>
        <v>5</v>
      </c>
      <c r="AT14" s="8">
        <f t="shared" si="19"/>
        <v>5</v>
      </c>
      <c r="AU14" s="8">
        <f t="shared" si="20"/>
        <v>0</v>
      </c>
      <c r="AV14" s="8">
        <f t="shared" si="21"/>
        <v>0</v>
      </c>
      <c r="AW14" s="8">
        <f t="shared" si="22"/>
        <v>0</v>
      </c>
      <c r="AX14" s="8">
        <f t="shared" si="23"/>
        <v>0</v>
      </c>
      <c r="AY14" s="8">
        <f t="shared" si="24"/>
        <v>18</v>
      </c>
      <c r="AZ14" s="3">
        <f t="shared" si="25"/>
        <v>334</v>
      </c>
      <c r="BB14" s="3">
        <v>13</v>
      </c>
      <c r="BC14" s="3" t="s">
        <v>12</v>
      </c>
      <c r="BD14" s="4"/>
      <c r="BO14" s="5"/>
      <c r="BP14" s="4"/>
      <c r="CA14" s="5"/>
      <c r="CB14" s="4"/>
      <c r="CM14" s="5"/>
      <c r="CN14" s="4"/>
      <c r="CY14" s="5"/>
      <c r="CZ14" s="4"/>
      <c r="DK14" s="5"/>
      <c r="DL14" s="3">
        <f t="shared" si="26"/>
        <v>0</v>
      </c>
      <c r="DM14" s="3">
        <v>12</v>
      </c>
      <c r="DN14" s="3">
        <f t="shared" si="27"/>
        <v>12</v>
      </c>
      <c r="DO14" s="10">
        <f t="shared" si="28"/>
        <v>0</v>
      </c>
      <c r="DP14" s="3">
        <f t="shared" si="29"/>
        <v>0</v>
      </c>
      <c r="DQ14" s="3">
        <f t="shared" si="30"/>
        <v>0</v>
      </c>
      <c r="DR14" s="3">
        <f t="shared" si="31"/>
        <v>0</v>
      </c>
      <c r="DS14" s="3">
        <f t="shared" si="32"/>
        <v>0</v>
      </c>
      <c r="DT14" s="3">
        <f t="shared" si="33"/>
        <v>0</v>
      </c>
      <c r="DU14" s="3">
        <f t="shared" si="34"/>
        <v>0</v>
      </c>
      <c r="DV14" s="3">
        <f t="shared" si="35"/>
        <v>0</v>
      </c>
      <c r="DW14" s="3">
        <f t="shared" si="36"/>
        <v>0</v>
      </c>
      <c r="DX14" s="3">
        <f t="shared" si="37"/>
        <v>0</v>
      </c>
      <c r="DY14" s="3">
        <f t="shared" si="38"/>
        <v>0</v>
      </c>
      <c r="DZ14" s="3">
        <f t="shared" si="39"/>
        <v>0</v>
      </c>
      <c r="EA14" s="3">
        <f t="shared" si="40"/>
        <v>0</v>
      </c>
      <c r="EB14" s="3">
        <f t="shared" si="41"/>
        <v>0</v>
      </c>
      <c r="EC14" s="3">
        <f t="shared" si="42"/>
        <v>0</v>
      </c>
      <c r="ED14" s="3">
        <f t="shared" si="43"/>
        <v>0</v>
      </c>
      <c r="EE14" s="3">
        <f t="shared" si="44"/>
        <v>0</v>
      </c>
      <c r="EF14" s="3">
        <f t="shared" si="45"/>
        <v>0</v>
      </c>
      <c r="EG14" s="3">
        <f t="shared" si="46"/>
        <v>0</v>
      </c>
      <c r="EH14" s="3">
        <f t="shared" si="47"/>
        <v>0</v>
      </c>
      <c r="EI14" s="3">
        <f t="shared" si="48"/>
        <v>0</v>
      </c>
      <c r="EJ14" s="3">
        <f t="shared" si="49"/>
        <v>0</v>
      </c>
      <c r="EK14" s="3">
        <f t="shared" si="50"/>
        <v>0</v>
      </c>
      <c r="EL14" s="3">
        <f t="shared" si="51"/>
        <v>0</v>
      </c>
      <c r="EM14" s="3">
        <f t="shared" si="52"/>
        <v>0</v>
      </c>
      <c r="EN14" s="3">
        <f t="shared" si="53"/>
        <v>0</v>
      </c>
      <c r="EO14" s="3">
        <f t="shared" si="54"/>
        <v>0</v>
      </c>
      <c r="EP14" s="3">
        <f t="shared" si="55"/>
        <v>0</v>
      </c>
      <c r="EQ14" s="3">
        <f t="shared" si="56"/>
        <v>0</v>
      </c>
      <c r="ER14" s="3">
        <f t="shared" si="57"/>
        <v>0</v>
      </c>
      <c r="ES14" s="3">
        <f t="shared" si="58"/>
        <v>0</v>
      </c>
      <c r="ET14" s="3">
        <f t="shared" si="59"/>
        <v>0</v>
      </c>
      <c r="EU14" s="3">
        <f t="shared" si="60"/>
        <v>0</v>
      </c>
      <c r="EV14" s="3">
        <f t="shared" si="61"/>
        <v>0</v>
      </c>
      <c r="EW14" s="3">
        <f t="shared" si="62"/>
        <v>0</v>
      </c>
      <c r="EX14" s="3">
        <f t="shared" si="63"/>
        <v>0</v>
      </c>
      <c r="EY14" s="3">
        <f t="shared" si="64"/>
        <v>0</v>
      </c>
      <c r="EZ14" s="3">
        <f t="shared" si="65"/>
        <v>0</v>
      </c>
      <c r="FA14" s="3">
        <f t="shared" si="66"/>
        <v>0</v>
      </c>
      <c r="FB14" s="3">
        <f t="shared" si="67"/>
        <v>0</v>
      </c>
      <c r="FC14" s="3">
        <f t="shared" si="68"/>
        <v>0</v>
      </c>
      <c r="FD14" s="3">
        <f t="shared" si="69"/>
        <v>0</v>
      </c>
      <c r="FE14" s="3">
        <f t="shared" si="70"/>
        <v>0</v>
      </c>
      <c r="FF14" s="3">
        <f t="shared" si="71"/>
        <v>0</v>
      </c>
      <c r="FG14" s="3">
        <f t="shared" si="72"/>
        <v>0</v>
      </c>
      <c r="FH14" s="3">
        <f t="shared" si="73"/>
        <v>0</v>
      </c>
      <c r="FI14" s="3">
        <f t="shared" si="74"/>
        <v>0</v>
      </c>
      <c r="FJ14" s="3">
        <f t="shared" si="75"/>
        <v>0</v>
      </c>
      <c r="FK14" s="3">
        <f t="shared" si="76"/>
        <v>0</v>
      </c>
      <c r="FL14" s="3">
        <f t="shared" si="77"/>
        <v>0</v>
      </c>
      <c r="FM14" s="3">
        <f t="shared" si="78"/>
        <v>0</v>
      </c>
      <c r="FN14" s="3">
        <f t="shared" si="79"/>
        <v>0</v>
      </c>
      <c r="FO14" s="3">
        <f t="shared" si="80"/>
        <v>0</v>
      </c>
      <c r="FP14" s="3">
        <f t="shared" si="81"/>
        <v>0</v>
      </c>
      <c r="FQ14" s="3">
        <f t="shared" si="82"/>
        <v>0</v>
      </c>
      <c r="FR14" s="3">
        <f t="shared" si="83"/>
        <v>0</v>
      </c>
      <c r="FS14" s="3">
        <f t="shared" si="84"/>
        <v>0</v>
      </c>
      <c r="FT14" s="3">
        <f t="shared" si="85"/>
        <v>0</v>
      </c>
      <c r="FU14" s="3">
        <f t="shared" si="86"/>
        <v>0</v>
      </c>
      <c r="FV14" s="3">
        <f t="shared" si="87"/>
        <v>0</v>
      </c>
      <c r="FW14" s="3">
        <f t="shared" si="88"/>
        <v>0</v>
      </c>
      <c r="FX14" s="3" t="e">
        <f>#REF!</f>
        <v>#REF!</v>
      </c>
      <c r="FY14" s="3" t="e">
        <f t="shared" si="89"/>
        <v>#REF!</v>
      </c>
    </row>
    <row r="15" spans="1:181" ht="13.9" customHeight="1" x14ac:dyDescent="0.45">
      <c r="A15" s="8">
        <f t="shared" si="8"/>
        <v>13</v>
      </c>
      <c r="B15" s="8" t="s">
        <v>11</v>
      </c>
      <c r="C15" s="8"/>
      <c r="D15" s="8"/>
      <c r="E15" s="8"/>
      <c r="F15" s="8"/>
      <c r="G15" s="8">
        <v>6</v>
      </c>
      <c r="H15" s="8"/>
      <c r="I15" s="8">
        <v>5</v>
      </c>
      <c r="J15" s="8">
        <v>5</v>
      </c>
      <c r="K15" s="8"/>
      <c r="L15" s="8"/>
      <c r="M15" s="8"/>
      <c r="N15" s="8"/>
      <c r="O15" s="8">
        <f t="shared" si="9"/>
        <v>6</v>
      </c>
      <c r="P15" s="8">
        <f t="shared" si="10"/>
        <v>10</v>
      </c>
      <c r="Q15" s="8">
        <f t="shared" si="2"/>
        <v>16</v>
      </c>
      <c r="S15" s="8">
        <f t="shared" si="90"/>
        <v>13</v>
      </c>
      <c r="T15" s="8" t="str">
        <f t="shared" si="3"/>
        <v>جبران علي</v>
      </c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>
        <f>SUM(U15:AB15)</f>
        <v>0</v>
      </c>
      <c r="AH15" s="8">
        <f t="shared" si="5"/>
        <v>0</v>
      </c>
      <c r="AI15" s="8">
        <f t="shared" si="11"/>
        <v>0</v>
      </c>
      <c r="AJ15" s="11">
        <v>3</v>
      </c>
      <c r="AK15" s="8">
        <f t="shared" si="91"/>
        <v>13</v>
      </c>
      <c r="AL15" s="8" t="str">
        <f t="shared" si="6"/>
        <v>جبران علي</v>
      </c>
      <c r="AM15" s="8">
        <f t="shared" si="12"/>
        <v>0</v>
      </c>
      <c r="AN15" s="8">
        <f t="shared" si="13"/>
        <v>0</v>
      </c>
      <c r="AO15" s="8">
        <f t="shared" si="14"/>
        <v>0</v>
      </c>
      <c r="AP15" s="8">
        <f t="shared" si="15"/>
        <v>0</v>
      </c>
      <c r="AQ15" s="8">
        <f t="shared" si="16"/>
        <v>6</v>
      </c>
      <c r="AR15" s="8">
        <f t="shared" si="17"/>
        <v>0</v>
      </c>
      <c r="AS15" s="8">
        <f t="shared" si="18"/>
        <v>5</v>
      </c>
      <c r="AT15" s="8">
        <f t="shared" si="19"/>
        <v>5</v>
      </c>
      <c r="AU15" s="8">
        <f t="shared" si="20"/>
        <v>0</v>
      </c>
      <c r="AV15" s="8">
        <f t="shared" si="21"/>
        <v>0</v>
      </c>
      <c r="AW15" s="8">
        <f t="shared" si="22"/>
        <v>0</v>
      </c>
      <c r="AX15" s="8">
        <f t="shared" si="23"/>
        <v>0</v>
      </c>
      <c r="AY15" s="8">
        <f t="shared" si="24"/>
        <v>16</v>
      </c>
      <c r="AZ15" s="3">
        <f t="shared" si="25"/>
        <v>268</v>
      </c>
      <c r="BB15" s="3">
        <v>14</v>
      </c>
      <c r="BC15" s="3" t="s">
        <v>13</v>
      </c>
      <c r="BD15" s="4"/>
      <c r="BO15" s="5"/>
      <c r="BP15" s="4"/>
      <c r="CA15" s="5"/>
      <c r="CB15" s="4"/>
      <c r="CM15" s="5"/>
      <c r="CN15" s="4"/>
      <c r="CY15" s="5"/>
      <c r="CZ15" s="4"/>
      <c r="DK15" s="5"/>
      <c r="DL15" s="3">
        <f t="shared" si="26"/>
        <v>0</v>
      </c>
      <c r="DM15" s="3">
        <v>17</v>
      </c>
      <c r="DN15" s="3">
        <f t="shared" si="27"/>
        <v>17</v>
      </c>
      <c r="DO15" s="10">
        <f t="shared" si="28"/>
        <v>0</v>
      </c>
      <c r="DP15" s="3">
        <f t="shared" si="29"/>
        <v>0</v>
      </c>
      <c r="DQ15" s="3">
        <f t="shared" si="30"/>
        <v>0</v>
      </c>
      <c r="DR15" s="3">
        <f t="shared" si="31"/>
        <v>0</v>
      </c>
      <c r="DS15" s="3">
        <f t="shared" si="32"/>
        <v>0</v>
      </c>
      <c r="DT15" s="3">
        <f t="shared" si="33"/>
        <v>0</v>
      </c>
      <c r="DU15" s="3">
        <f t="shared" si="34"/>
        <v>0</v>
      </c>
      <c r="DV15" s="3">
        <f t="shared" si="35"/>
        <v>0</v>
      </c>
      <c r="DW15" s="3">
        <f t="shared" si="36"/>
        <v>0</v>
      </c>
      <c r="DX15" s="3">
        <f t="shared" si="37"/>
        <v>0</v>
      </c>
      <c r="DY15" s="3">
        <f t="shared" si="38"/>
        <v>0</v>
      </c>
      <c r="DZ15" s="3">
        <f t="shared" si="39"/>
        <v>0</v>
      </c>
      <c r="EA15" s="3">
        <f t="shared" si="40"/>
        <v>0</v>
      </c>
      <c r="EB15" s="3">
        <f t="shared" si="41"/>
        <v>0</v>
      </c>
      <c r="EC15" s="3">
        <f t="shared" si="42"/>
        <v>0</v>
      </c>
      <c r="ED15" s="3">
        <f t="shared" si="43"/>
        <v>0</v>
      </c>
      <c r="EE15" s="3">
        <f t="shared" si="44"/>
        <v>0</v>
      </c>
      <c r="EF15" s="3">
        <f t="shared" si="45"/>
        <v>0</v>
      </c>
      <c r="EG15" s="3">
        <f t="shared" si="46"/>
        <v>0</v>
      </c>
      <c r="EH15" s="3">
        <f t="shared" si="47"/>
        <v>0</v>
      </c>
      <c r="EI15" s="3">
        <f t="shared" si="48"/>
        <v>0</v>
      </c>
      <c r="EJ15" s="3">
        <f t="shared" si="49"/>
        <v>0</v>
      </c>
      <c r="EK15" s="3">
        <f t="shared" si="50"/>
        <v>0</v>
      </c>
      <c r="EL15" s="3">
        <f t="shared" si="51"/>
        <v>0</v>
      </c>
      <c r="EM15" s="3">
        <f t="shared" si="52"/>
        <v>0</v>
      </c>
      <c r="EN15" s="3">
        <f t="shared" si="53"/>
        <v>0</v>
      </c>
      <c r="EO15" s="3">
        <f t="shared" si="54"/>
        <v>0</v>
      </c>
      <c r="EP15" s="3">
        <f t="shared" si="55"/>
        <v>0</v>
      </c>
      <c r="EQ15" s="3">
        <f t="shared" si="56"/>
        <v>0</v>
      </c>
      <c r="ER15" s="3">
        <f t="shared" si="57"/>
        <v>0</v>
      </c>
      <c r="ES15" s="3">
        <f t="shared" si="58"/>
        <v>0</v>
      </c>
      <c r="ET15" s="3">
        <f t="shared" si="59"/>
        <v>0</v>
      </c>
      <c r="EU15" s="3">
        <f t="shared" si="60"/>
        <v>0</v>
      </c>
      <c r="EV15" s="3">
        <f t="shared" si="61"/>
        <v>0</v>
      </c>
      <c r="EW15" s="3">
        <f t="shared" si="62"/>
        <v>0</v>
      </c>
      <c r="EX15" s="3">
        <f t="shared" si="63"/>
        <v>0</v>
      </c>
      <c r="EY15" s="3">
        <f t="shared" si="64"/>
        <v>0</v>
      </c>
      <c r="EZ15" s="3">
        <f t="shared" si="65"/>
        <v>0</v>
      </c>
      <c r="FA15" s="3">
        <f t="shared" si="66"/>
        <v>0</v>
      </c>
      <c r="FB15" s="3">
        <f t="shared" si="67"/>
        <v>0</v>
      </c>
      <c r="FC15" s="3">
        <f t="shared" si="68"/>
        <v>0</v>
      </c>
      <c r="FD15" s="3">
        <f t="shared" si="69"/>
        <v>0</v>
      </c>
      <c r="FE15" s="3">
        <f t="shared" si="70"/>
        <v>0</v>
      </c>
      <c r="FF15" s="3">
        <f t="shared" si="71"/>
        <v>0</v>
      </c>
      <c r="FG15" s="3">
        <f t="shared" si="72"/>
        <v>0</v>
      </c>
      <c r="FH15" s="3">
        <f t="shared" si="73"/>
        <v>0</v>
      </c>
      <c r="FI15" s="3">
        <f t="shared" si="74"/>
        <v>0</v>
      </c>
      <c r="FJ15" s="3">
        <f t="shared" si="75"/>
        <v>0</v>
      </c>
      <c r="FK15" s="3">
        <f t="shared" si="76"/>
        <v>0</v>
      </c>
      <c r="FL15" s="3">
        <f t="shared" si="77"/>
        <v>0</v>
      </c>
      <c r="FM15" s="3">
        <f t="shared" si="78"/>
        <v>0</v>
      </c>
      <c r="FN15" s="3">
        <f t="shared" si="79"/>
        <v>0</v>
      </c>
      <c r="FO15" s="3">
        <f t="shared" si="80"/>
        <v>0</v>
      </c>
      <c r="FP15" s="3">
        <f t="shared" si="81"/>
        <v>0</v>
      </c>
      <c r="FQ15" s="3">
        <f t="shared" si="82"/>
        <v>0</v>
      </c>
      <c r="FR15" s="3">
        <f t="shared" si="83"/>
        <v>0</v>
      </c>
      <c r="FS15" s="3">
        <f t="shared" si="84"/>
        <v>0</v>
      </c>
      <c r="FT15" s="3">
        <f t="shared" si="85"/>
        <v>0</v>
      </c>
      <c r="FU15" s="3">
        <f t="shared" si="86"/>
        <v>0</v>
      </c>
      <c r="FV15" s="3">
        <f t="shared" si="87"/>
        <v>0</v>
      </c>
      <c r="FW15" s="3">
        <f t="shared" si="88"/>
        <v>0</v>
      </c>
      <c r="FX15" s="3" t="e">
        <f>#REF!</f>
        <v>#REF!</v>
      </c>
      <c r="FY15" s="3" t="e">
        <f t="shared" si="89"/>
        <v>#REF!</v>
      </c>
    </row>
    <row r="16" spans="1:181" ht="13.9" customHeight="1" x14ac:dyDescent="0.45">
      <c r="A16" s="8">
        <f t="shared" si="8"/>
        <v>14</v>
      </c>
      <c r="B16" s="8" t="s">
        <v>12</v>
      </c>
      <c r="C16" s="8">
        <v>2</v>
      </c>
      <c r="D16" s="8"/>
      <c r="E16" s="8">
        <v>2</v>
      </c>
      <c r="F16" s="8"/>
      <c r="G16" s="8">
        <v>2</v>
      </c>
      <c r="H16" s="8"/>
      <c r="I16" s="8">
        <v>2</v>
      </c>
      <c r="J16" s="8"/>
      <c r="K16" s="8"/>
      <c r="L16" s="8"/>
      <c r="M16" s="8">
        <v>3</v>
      </c>
      <c r="N16" s="8"/>
      <c r="O16" s="8">
        <f t="shared" si="9"/>
        <v>6</v>
      </c>
      <c r="P16" s="8">
        <f t="shared" si="10"/>
        <v>5</v>
      </c>
      <c r="Q16" s="8">
        <f>SUM(C16:N16)</f>
        <v>11</v>
      </c>
      <c r="S16" s="8">
        <f t="shared" si="90"/>
        <v>14</v>
      </c>
      <c r="T16" s="8" t="str">
        <f t="shared" si="3"/>
        <v>يحيى احمد</v>
      </c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>
        <f t="shared" ref="AG16" si="92">SUM(U16:AB16)</f>
        <v>0</v>
      </c>
      <c r="AH16" s="8">
        <f t="shared" ref="AH16" si="93">SUM(AA16:AF16)</f>
        <v>0</v>
      </c>
      <c r="AI16" s="8">
        <f t="shared" ref="AI16" si="94">AH16+AG16</f>
        <v>0</v>
      </c>
      <c r="AJ16" s="11">
        <v>4</v>
      </c>
      <c r="AK16" s="8">
        <f t="shared" si="91"/>
        <v>14</v>
      </c>
      <c r="AL16" s="8" t="str">
        <f t="shared" ref="AL16" si="95">B16</f>
        <v>يحيى احمد</v>
      </c>
      <c r="AM16" s="8">
        <f t="shared" ref="AM16" si="96">C16-U16</f>
        <v>2</v>
      </c>
      <c r="AN16" s="8">
        <f t="shared" ref="AN16" si="97">D16-V16</f>
        <v>0</v>
      </c>
      <c r="AO16" s="8">
        <f t="shared" ref="AO16" si="98">E16-W16</f>
        <v>2</v>
      </c>
      <c r="AP16" s="8">
        <f t="shared" ref="AP16" si="99">F16-X16</f>
        <v>0</v>
      </c>
      <c r="AQ16" s="8">
        <f t="shared" ref="AQ16" si="100">G16-Y16</f>
        <v>2</v>
      </c>
      <c r="AR16" s="8">
        <f t="shared" ref="AR16" si="101">H16-Z16</f>
        <v>0</v>
      </c>
      <c r="AS16" s="8">
        <f t="shared" ref="AS16" si="102">I16-AA16</f>
        <v>2</v>
      </c>
      <c r="AT16" s="8">
        <f t="shared" ref="AT16" si="103">J16-AB16</f>
        <v>0</v>
      </c>
      <c r="AU16" s="8">
        <f t="shared" ref="AU16" si="104">K16-AC16</f>
        <v>0</v>
      </c>
      <c r="AV16" s="8">
        <f t="shared" ref="AV16" si="105">L16-AD16</f>
        <v>0</v>
      </c>
      <c r="AW16" s="8">
        <f t="shared" ref="AW16" si="106">M16-AE16</f>
        <v>3</v>
      </c>
      <c r="AX16" s="8">
        <f t="shared" ref="AX16" si="107">N16-AF16</f>
        <v>0</v>
      </c>
      <c r="AY16" s="8">
        <f t="shared" ref="AY16" si="108">SUM(AM16:AX16)</f>
        <v>11</v>
      </c>
      <c r="AZ16" s="3">
        <f t="shared" ref="AZ16" si="109">AX16*$AX$2+AW16*$AW$2+AV16*$AV$2+AU16*$AU$2+AT16*$AT$2+AS16*$AS$2+AR16*$AR$2+AQ16*$AQ$2+AP16*$AP$2+AO16*$AO$2+AN16*$AN$2+AM16*$AM$2</f>
        <v>148</v>
      </c>
      <c r="BB16" s="3">
        <v>15</v>
      </c>
      <c r="BC16" s="3" t="s">
        <v>14</v>
      </c>
      <c r="BD16" s="4"/>
      <c r="BO16" s="5"/>
      <c r="BP16" s="4"/>
      <c r="CA16" s="5"/>
      <c r="CB16" s="4"/>
      <c r="CM16" s="5"/>
      <c r="CN16" s="4"/>
      <c r="CY16" s="5"/>
      <c r="CZ16" s="4"/>
      <c r="DK16" s="5"/>
      <c r="DL16" s="3">
        <f t="shared" si="26"/>
        <v>0</v>
      </c>
      <c r="DM16" s="3">
        <v>14</v>
      </c>
      <c r="DN16" s="3">
        <f t="shared" si="27"/>
        <v>14</v>
      </c>
      <c r="DO16" s="10">
        <f t="shared" si="28"/>
        <v>0</v>
      </c>
      <c r="DP16" s="3">
        <f t="shared" si="29"/>
        <v>0</v>
      </c>
      <c r="DQ16" s="3">
        <f t="shared" si="30"/>
        <v>0</v>
      </c>
      <c r="DR16" s="3">
        <f t="shared" si="31"/>
        <v>0</v>
      </c>
      <c r="DS16" s="3">
        <f t="shared" si="32"/>
        <v>0</v>
      </c>
      <c r="DT16" s="3">
        <f t="shared" si="33"/>
        <v>0</v>
      </c>
      <c r="DU16" s="3">
        <f t="shared" si="34"/>
        <v>0</v>
      </c>
      <c r="DV16" s="3">
        <f t="shared" si="35"/>
        <v>0</v>
      </c>
      <c r="DW16" s="3">
        <f t="shared" si="36"/>
        <v>0</v>
      </c>
      <c r="DX16" s="3">
        <f t="shared" si="37"/>
        <v>0</v>
      </c>
      <c r="DY16" s="3">
        <f t="shared" si="38"/>
        <v>0</v>
      </c>
      <c r="DZ16" s="3">
        <f t="shared" si="39"/>
        <v>0</v>
      </c>
      <c r="EA16" s="3">
        <f t="shared" si="40"/>
        <v>0</v>
      </c>
      <c r="EB16" s="3">
        <f t="shared" si="41"/>
        <v>0</v>
      </c>
      <c r="EC16" s="3">
        <f t="shared" si="42"/>
        <v>0</v>
      </c>
      <c r="ED16" s="3">
        <f t="shared" si="43"/>
        <v>0</v>
      </c>
      <c r="EE16" s="3">
        <f t="shared" si="44"/>
        <v>0</v>
      </c>
      <c r="EF16" s="3">
        <f t="shared" si="45"/>
        <v>0</v>
      </c>
      <c r="EG16" s="3">
        <f t="shared" si="46"/>
        <v>0</v>
      </c>
      <c r="EH16" s="3">
        <f t="shared" si="47"/>
        <v>0</v>
      </c>
      <c r="EI16" s="3">
        <f t="shared" si="48"/>
        <v>0</v>
      </c>
      <c r="EJ16" s="3">
        <f t="shared" si="49"/>
        <v>0</v>
      </c>
      <c r="EK16" s="3">
        <f t="shared" si="50"/>
        <v>0</v>
      </c>
      <c r="EL16" s="3">
        <f t="shared" si="51"/>
        <v>0</v>
      </c>
      <c r="EM16" s="3">
        <f t="shared" si="52"/>
        <v>0</v>
      </c>
      <c r="EN16" s="3">
        <f t="shared" si="53"/>
        <v>0</v>
      </c>
      <c r="EO16" s="3">
        <f t="shared" si="54"/>
        <v>0</v>
      </c>
      <c r="EP16" s="3">
        <f t="shared" si="55"/>
        <v>0</v>
      </c>
      <c r="EQ16" s="3">
        <f t="shared" si="56"/>
        <v>0</v>
      </c>
      <c r="ER16" s="3">
        <f t="shared" si="57"/>
        <v>0</v>
      </c>
      <c r="ES16" s="3">
        <f t="shared" si="58"/>
        <v>0</v>
      </c>
      <c r="ET16" s="3">
        <f t="shared" si="59"/>
        <v>0</v>
      </c>
      <c r="EU16" s="3">
        <f t="shared" si="60"/>
        <v>0</v>
      </c>
      <c r="EV16" s="3">
        <f t="shared" si="61"/>
        <v>0</v>
      </c>
      <c r="EW16" s="3">
        <f t="shared" si="62"/>
        <v>0</v>
      </c>
      <c r="EX16" s="3">
        <f t="shared" si="63"/>
        <v>0</v>
      </c>
      <c r="EY16" s="3">
        <f t="shared" si="64"/>
        <v>0</v>
      </c>
      <c r="EZ16" s="3">
        <f t="shared" si="65"/>
        <v>0</v>
      </c>
      <c r="FA16" s="3">
        <f t="shared" si="66"/>
        <v>0</v>
      </c>
      <c r="FB16" s="3">
        <f t="shared" si="67"/>
        <v>0</v>
      </c>
      <c r="FC16" s="3">
        <f t="shared" si="68"/>
        <v>0</v>
      </c>
      <c r="FD16" s="3">
        <f t="shared" si="69"/>
        <v>0</v>
      </c>
      <c r="FE16" s="3">
        <f t="shared" si="70"/>
        <v>0</v>
      </c>
      <c r="FF16" s="3">
        <f t="shared" si="71"/>
        <v>0</v>
      </c>
      <c r="FG16" s="3">
        <f t="shared" si="72"/>
        <v>0</v>
      </c>
      <c r="FH16" s="3">
        <f t="shared" si="73"/>
        <v>0</v>
      </c>
      <c r="FI16" s="3">
        <f t="shared" si="74"/>
        <v>0</v>
      </c>
      <c r="FJ16" s="3">
        <f t="shared" si="75"/>
        <v>0</v>
      </c>
      <c r="FK16" s="3">
        <f t="shared" si="76"/>
        <v>0</v>
      </c>
      <c r="FL16" s="3">
        <f t="shared" si="77"/>
        <v>0</v>
      </c>
      <c r="FM16" s="3">
        <f t="shared" si="78"/>
        <v>0</v>
      </c>
      <c r="FN16" s="3">
        <f t="shared" si="79"/>
        <v>0</v>
      </c>
      <c r="FO16" s="3">
        <f t="shared" si="80"/>
        <v>0</v>
      </c>
      <c r="FP16" s="3">
        <f t="shared" si="81"/>
        <v>0</v>
      </c>
      <c r="FQ16" s="3">
        <f t="shared" si="82"/>
        <v>0</v>
      </c>
      <c r="FR16" s="3">
        <f t="shared" si="83"/>
        <v>0</v>
      </c>
      <c r="FS16" s="3">
        <f t="shared" si="84"/>
        <v>0</v>
      </c>
      <c r="FT16" s="3">
        <f t="shared" si="85"/>
        <v>0</v>
      </c>
      <c r="FU16" s="3">
        <f t="shared" si="86"/>
        <v>0</v>
      </c>
      <c r="FV16" s="3">
        <f t="shared" si="87"/>
        <v>0</v>
      </c>
      <c r="FW16" s="3">
        <f t="shared" si="88"/>
        <v>0</v>
      </c>
      <c r="FX16" s="3" t="e">
        <f>#REF!</f>
        <v>#REF!</v>
      </c>
      <c r="FY16" s="3" t="e">
        <f t="shared" si="89"/>
        <v>#REF!</v>
      </c>
    </row>
    <row r="17" spans="1:181" ht="13.9" customHeight="1" x14ac:dyDescent="0.45">
      <c r="A17" s="8">
        <f t="shared" si="8"/>
        <v>15</v>
      </c>
      <c r="B17" s="8" t="s">
        <v>46</v>
      </c>
      <c r="C17" s="8"/>
      <c r="D17" s="8"/>
      <c r="E17" s="8"/>
      <c r="F17" s="8">
        <v>2</v>
      </c>
      <c r="G17" s="8"/>
      <c r="H17" s="8">
        <v>2</v>
      </c>
      <c r="I17" s="8"/>
      <c r="J17" s="8">
        <v>2</v>
      </c>
      <c r="K17" s="8"/>
      <c r="L17" s="8"/>
      <c r="M17" s="8"/>
      <c r="N17" s="8">
        <v>3</v>
      </c>
      <c r="O17" s="8">
        <f t="shared" si="9"/>
        <v>4</v>
      </c>
      <c r="P17" s="8">
        <f t="shared" si="10"/>
        <v>5</v>
      </c>
      <c r="Q17" s="8">
        <f t="shared" ref="Q17:Q31" si="110">SUM(C17:N17)</f>
        <v>9</v>
      </c>
      <c r="S17" s="8">
        <f t="shared" si="90"/>
        <v>15</v>
      </c>
      <c r="T17" s="8" t="str">
        <f>B17</f>
        <v>أبو محمد</v>
      </c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>
        <f t="shared" ref="AG17:AG31" si="111">SUM(U17:AB17)</f>
        <v>0</v>
      </c>
      <c r="AH17" s="8">
        <f t="shared" ref="AH17:AH31" si="112">SUM(AA17:AF17)</f>
        <v>0</v>
      </c>
      <c r="AI17" s="8">
        <f t="shared" ref="AI17:AI31" si="113">AH17+AG17</f>
        <v>0</v>
      </c>
      <c r="AJ17" s="11">
        <v>5</v>
      </c>
      <c r="AK17" s="8">
        <f t="shared" si="91"/>
        <v>15</v>
      </c>
      <c r="AL17" s="8" t="str">
        <f>B17</f>
        <v>أبو محمد</v>
      </c>
      <c r="AM17" s="8">
        <f t="shared" ref="AM17:AM31" si="114">C17-U17</f>
        <v>0</v>
      </c>
      <c r="AN17" s="8">
        <f t="shared" ref="AN17:AN31" si="115">D17-V17</f>
        <v>0</v>
      </c>
      <c r="AO17" s="8">
        <f t="shared" ref="AO17:AO31" si="116">E17-W17</f>
        <v>0</v>
      </c>
      <c r="AP17" s="8">
        <f t="shared" ref="AP17:AP31" si="117">F17-X17</f>
        <v>2</v>
      </c>
      <c r="AQ17" s="8">
        <f t="shared" ref="AQ17:AQ31" si="118">G17-Y17</f>
        <v>0</v>
      </c>
      <c r="AR17" s="8">
        <f t="shared" ref="AR17:AR31" si="119">H17-Z17</f>
        <v>2</v>
      </c>
      <c r="AS17" s="8">
        <f t="shared" ref="AS17:AS31" si="120">I17-AA17</f>
        <v>0</v>
      </c>
      <c r="AT17" s="8">
        <f t="shared" ref="AT17:AT31" si="121">J17-AB17</f>
        <v>2</v>
      </c>
      <c r="AU17" s="8">
        <f t="shared" ref="AU17:AU31" si="122">K17-AC17</f>
        <v>0</v>
      </c>
      <c r="AV17" s="8">
        <f t="shared" ref="AV17:AV31" si="123">L17-AD17</f>
        <v>0</v>
      </c>
      <c r="AW17" s="8">
        <f t="shared" ref="AW17:AW31" si="124">M17-AE17</f>
        <v>0</v>
      </c>
      <c r="AX17" s="8">
        <f t="shared" ref="AX17:AX31" si="125">N17-AF17</f>
        <v>3</v>
      </c>
      <c r="AY17" s="8">
        <f t="shared" ref="AY17:AY31" si="126">SUM(AM17:AX17)</f>
        <v>9</v>
      </c>
      <c r="AZ17" s="3">
        <f t="shared" ref="AZ17:AZ31" si="127">AX17*$AX$2+AW17*$AW$2+AV17*$AV$2+AU17*$AU$2+AT17*$AT$2+AS17*$AS$2+AR17*$AR$2+AQ17*$AQ$2+AP17*$AP$2+AO17*$AO$2+AN17*$AN$2+AM17*$AM$2</f>
        <v>216</v>
      </c>
      <c r="BD17" s="4"/>
      <c r="BO17" s="5"/>
      <c r="BP17" s="4"/>
      <c r="CA17" s="5"/>
      <c r="CB17" s="4"/>
      <c r="CM17" s="5"/>
      <c r="CN17" s="4"/>
      <c r="CY17" s="5"/>
      <c r="CZ17" s="4"/>
      <c r="DK17" s="5"/>
      <c r="DO17" s="10"/>
    </row>
    <row r="18" spans="1:181" ht="13.9" customHeight="1" x14ac:dyDescent="0.45">
      <c r="A18" s="8">
        <f t="shared" si="8"/>
        <v>16</v>
      </c>
      <c r="B18" s="8" t="s">
        <v>13</v>
      </c>
      <c r="C18" s="8">
        <v>2</v>
      </c>
      <c r="D18" s="8"/>
      <c r="E18" s="8">
        <v>2</v>
      </c>
      <c r="F18" s="8">
        <v>2</v>
      </c>
      <c r="G18" s="8">
        <v>2</v>
      </c>
      <c r="H18" s="8">
        <v>2</v>
      </c>
      <c r="I18" s="8">
        <v>3</v>
      </c>
      <c r="J18" s="8">
        <v>3</v>
      </c>
      <c r="K18" s="8"/>
      <c r="L18" s="8"/>
      <c r="M18" s="8">
        <v>2</v>
      </c>
      <c r="N18" s="8">
        <v>2</v>
      </c>
      <c r="O18" s="8">
        <f t="shared" si="9"/>
        <v>10</v>
      </c>
      <c r="P18" s="8">
        <f t="shared" si="10"/>
        <v>10</v>
      </c>
      <c r="Q18" s="8">
        <f t="shared" si="110"/>
        <v>20</v>
      </c>
      <c r="S18" s="8">
        <f t="shared" si="90"/>
        <v>16</v>
      </c>
      <c r="T18" s="8" t="str">
        <f t="shared" ref="T18:T31" si="128">B18</f>
        <v>ماهر</v>
      </c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>
        <f t="shared" si="111"/>
        <v>0</v>
      </c>
      <c r="AH18" s="8">
        <f t="shared" si="112"/>
        <v>0</v>
      </c>
      <c r="AI18" s="8">
        <f t="shared" si="113"/>
        <v>0</v>
      </c>
      <c r="AJ18" s="11">
        <v>6</v>
      </c>
      <c r="AK18" s="8">
        <f t="shared" si="91"/>
        <v>16</v>
      </c>
      <c r="AL18" s="8" t="str">
        <f t="shared" ref="AL18:AL31" si="129">B18</f>
        <v>ماهر</v>
      </c>
      <c r="AM18" s="8">
        <f t="shared" si="114"/>
        <v>2</v>
      </c>
      <c r="AN18" s="8">
        <f t="shared" si="115"/>
        <v>0</v>
      </c>
      <c r="AO18" s="8">
        <f t="shared" si="116"/>
        <v>2</v>
      </c>
      <c r="AP18" s="8">
        <f t="shared" si="117"/>
        <v>2</v>
      </c>
      <c r="AQ18" s="8">
        <f t="shared" si="118"/>
        <v>2</v>
      </c>
      <c r="AR18" s="8">
        <f t="shared" si="119"/>
        <v>2</v>
      </c>
      <c r="AS18" s="8">
        <f t="shared" si="120"/>
        <v>3</v>
      </c>
      <c r="AT18" s="8">
        <f t="shared" si="121"/>
        <v>3</v>
      </c>
      <c r="AU18" s="8">
        <f t="shared" si="122"/>
        <v>0</v>
      </c>
      <c r="AV18" s="8">
        <f t="shared" si="123"/>
        <v>0</v>
      </c>
      <c r="AW18" s="8">
        <f t="shared" si="124"/>
        <v>2</v>
      </c>
      <c r="AX18" s="8">
        <f t="shared" si="125"/>
        <v>2</v>
      </c>
      <c r="AY18" s="8">
        <f t="shared" si="126"/>
        <v>20</v>
      </c>
      <c r="AZ18" s="3">
        <f t="shared" si="127"/>
        <v>360</v>
      </c>
      <c r="BB18" s="3">
        <v>16</v>
      </c>
      <c r="BC18" s="3" t="s">
        <v>15</v>
      </c>
      <c r="BD18" s="4"/>
      <c r="BO18" s="5"/>
      <c r="BP18" s="4"/>
      <c r="CA18" s="5"/>
      <c r="CB18" s="4"/>
      <c r="CM18" s="5"/>
      <c r="CN18" s="4"/>
      <c r="CY18" s="5"/>
      <c r="CZ18" s="4"/>
      <c r="DK18" s="5"/>
      <c r="DL18" s="3">
        <f t="shared" si="26"/>
        <v>0</v>
      </c>
      <c r="DM18" s="3">
        <v>17</v>
      </c>
      <c r="DN18" s="3">
        <f t="shared" si="27"/>
        <v>17</v>
      </c>
      <c r="DO18" s="10">
        <f t="shared" si="28"/>
        <v>0</v>
      </c>
      <c r="DP18" s="3">
        <f t="shared" si="29"/>
        <v>0</v>
      </c>
      <c r="DQ18" s="3">
        <f t="shared" si="30"/>
        <v>0</v>
      </c>
      <c r="DR18" s="3">
        <f t="shared" si="31"/>
        <v>0</v>
      </c>
      <c r="DS18" s="3">
        <f t="shared" si="32"/>
        <v>0</v>
      </c>
      <c r="DT18" s="3">
        <f t="shared" si="33"/>
        <v>0</v>
      </c>
      <c r="DU18" s="3">
        <f t="shared" si="34"/>
        <v>0</v>
      </c>
      <c r="DV18" s="3">
        <f t="shared" si="35"/>
        <v>0</v>
      </c>
      <c r="DW18" s="3">
        <f t="shared" si="36"/>
        <v>0</v>
      </c>
      <c r="DX18" s="3">
        <f t="shared" si="37"/>
        <v>0</v>
      </c>
      <c r="DY18" s="3">
        <f t="shared" si="38"/>
        <v>0</v>
      </c>
      <c r="DZ18" s="3">
        <f t="shared" si="39"/>
        <v>0</v>
      </c>
      <c r="EA18" s="3">
        <f t="shared" si="40"/>
        <v>0</v>
      </c>
      <c r="EB18" s="3">
        <f t="shared" si="41"/>
        <v>0</v>
      </c>
      <c r="EC18" s="3">
        <f t="shared" si="42"/>
        <v>0</v>
      </c>
      <c r="ED18" s="3">
        <f t="shared" si="43"/>
        <v>0</v>
      </c>
      <c r="EE18" s="3">
        <f t="shared" si="44"/>
        <v>0</v>
      </c>
      <c r="EF18" s="3">
        <f t="shared" si="45"/>
        <v>0</v>
      </c>
      <c r="EG18" s="3">
        <f t="shared" si="46"/>
        <v>0</v>
      </c>
      <c r="EH18" s="3">
        <f t="shared" si="47"/>
        <v>0</v>
      </c>
      <c r="EI18" s="3">
        <f t="shared" si="48"/>
        <v>0</v>
      </c>
      <c r="EJ18" s="3">
        <f t="shared" si="49"/>
        <v>0</v>
      </c>
      <c r="EK18" s="3">
        <f t="shared" si="50"/>
        <v>0</v>
      </c>
      <c r="EL18" s="3">
        <f t="shared" si="51"/>
        <v>0</v>
      </c>
      <c r="EM18" s="3">
        <f t="shared" si="52"/>
        <v>0</v>
      </c>
      <c r="EN18" s="3">
        <f t="shared" si="53"/>
        <v>0</v>
      </c>
      <c r="EO18" s="3">
        <f t="shared" si="54"/>
        <v>0</v>
      </c>
      <c r="EP18" s="3">
        <f t="shared" si="55"/>
        <v>0</v>
      </c>
      <c r="EQ18" s="3">
        <f t="shared" si="56"/>
        <v>0</v>
      </c>
      <c r="ER18" s="3">
        <f t="shared" si="57"/>
        <v>0</v>
      </c>
      <c r="ES18" s="3">
        <f t="shared" si="58"/>
        <v>0</v>
      </c>
      <c r="ET18" s="3">
        <f t="shared" si="59"/>
        <v>0</v>
      </c>
      <c r="EU18" s="3">
        <f t="shared" si="60"/>
        <v>0</v>
      </c>
      <c r="EV18" s="3">
        <f t="shared" si="61"/>
        <v>0</v>
      </c>
      <c r="EW18" s="3">
        <f t="shared" si="62"/>
        <v>0</v>
      </c>
      <c r="EX18" s="3">
        <f t="shared" si="63"/>
        <v>0</v>
      </c>
      <c r="EY18" s="3">
        <f t="shared" si="64"/>
        <v>0</v>
      </c>
      <c r="EZ18" s="3">
        <f t="shared" si="65"/>
        <v>0</v>
      </c>
      <c r="FA18" s="3">
        <f t="shared" si="66"/>
        <v>0</v>
      </c>
      <c r="FB18" s="3">
        <f t="shared" si="67"/>
        <v>0</v>
      </c>
      <c r="FC18" s="3">
        <f t="shared" si="68"/>
        <v>0</v>
      </c>
      <c r="FD18" s="3">
        <f t="shared" si="69"/>
        <v>0</v>
      </c>
      <c r="FE18" s="3">
        <f t="shared" si="70"/>
        <v>0</v>
      </c>
      <c r="FF18" s="3">
        <f t="shared" si="71"/>
        <v>0</v>
      </c>
      <c r="FG18" s="3">
        <f t="shared" si="72"/>
        <v>0</v>
      </c>
      <c r="FH18" s="3">
        <f t="shared" si="73"/>
        <v>0</v>
      </c>
      <c r="FI18" s="3">
        <f t="shared" si="74"/>
        <v>0</v>
      </c>
      <c r="FJ18" s="3">
        <f t="shared" si="75"/>
        <v>0</v>
      </c>
      <c r="FK18" s="3">
        <f t="shared" si="76"/>
        <v>0</v>
      </c>
      <c r="FL18" s="3">
        <f t="shared" si="77"/>
        <v>0</v>
      </c>
      <c r="FM18" s="3">
        <f t="shared" si="78"/>
        <v>0</v>
      </c>
      <c r="FN18" s="3">
        <f t="shared" si="79"/>
        <v>0</v>
      </c>
      <c r="FO18" s="3">
        <f t="shared" si="80"/>
        <v>0</v>
      </c>
      <c r="FP18" s="3">
        <f t="shared" si="81"/>
        <v>0</v>
      </c>
      <c r="FQ18" s="3">
        <f t="shared" si="82"/>
        <v>0</v>
      </c>
      <c r="FR18" s="3">
        <f t="shared" si="83"/>
        <v>0</v>
      </c>
      <c r="FS18" s="3">
        <f t="shared" si="84"/>
        <v>0</v>
      </c>
      <c r="FT18" s="3">
        <f t="shared" si="85"/>
        <v>0</v>
      </c>
      <c r="FU18" s="3">
        <f t="shared" si="86"/>
        <v>0</v>
      </c>
      <c r="FV18" s="3">
        <f t="shared" si="87"/>
        <v>0</v>
      </c>
      <c r="FW18" s="3">
        <f t="shared" si="88"/>
        <v>0</v>
      </c>
      <c r="FX18" s="3" t="e">
        <f>#REF!</f>
        <v>#REF!</v>
      </c>
      <c r="FY18" s="3" t="e">
        <f t="shared" si="89"/>
        <v>#REF!</v>
      </c>
    </row>
    <row r="19" spans="1:181" ht="13.9" customHeight="1" x14ac:dyDescent="0.45">
      <c r="A19" s="8">
        <f t="shared" si="8"/>
        <v>17</v>
      </c>
      <c r="B19" s="8" t="s">
        <v>62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>
        <f t="shared" si="9"/>
        <v>0</v>
      </c>
      <c r="P19" s="8">
        <f t="shared" si="10"/>
        <v>0</v>
      </c>
      <c r="Q19" s="8">
        <f t="shared" si="110"/>
        <v>0</v>
      </c>
      <c r="S19" s="8">
        <f t="shared" si="90"/>
        <v>17</v>
      </c>
      <c r="T19" s="8" t="str">
        <f t="shared" si="128"/>
        <v>محمد علي</v>
      </c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>
        <f t="shared" si="111"/>
        <v>0</v>
      </c>
      <c r="AH19" s="8">
        <f t="shared" si="112"/>
        <v>0</v>
      </c>
      <c r="AI19" s="8">
        <f t="shared" si="113"/>
        <v>0</v>
      </c>
      <c r="AJ19" s="11">
        <v>7</v>
      </c>
      <c r="AK19" s="8">
        <f t="shared" si="91"/>
        <v>17</v>
      </c>
      <c r="AL19" s="8" t="str">
        <f t="shared" si="129"/>
        <v>محمد علي</v>
      </c>
      <c r="AM19" s="8">
        <f t="shared" si="114"/>
        <v>0</v>
      </c>
      <c r="AN19" s="8">
        <f t="shared" si="115"/>
        <v>0</v>
      </c>
      <c r="AO19" s="8">
        <f t="shared" si="116"/>
        <v>0</v>
      </c>
      <c r="AP19" s="8">
        <f t="shared" si="117"/>
        <v>0</v>
      </c>
      <c r="AQ19" s="8">
        <f t="shared" si="118"/>
        <v>0</v>
      </c>
      <c r="AR19" s="8">
        <f t="shared" si="119"/>
        <v>0</v>
      </c>
      <c r="AS19" s="8">
        <f t="shared" si="120"/>
        <v>0</v>
      </c>
      <c r="AT19" s="8">
        <f t="shared" si="121"/>
        <v>0</v>
      </c>
      <c r="AU19" s="8">
        <f t="shared" si="122"/>
        <v>0</v>
      </c>
      <c r="AV19" s="8">
        <f t="shared" si="123"/>
        <v>0</v>
      </c>
      <c r="AW19" s="8">
        <f t="shared" si="124"/>
        <v>0</v>
      </c>
      <c r="AX19" s="8">
        <f t="shared" si="125"/>
        <v>0</v>
      </c>
      <c r="AY19" s="8">
        <f t="shared" si="126"/>
        <v>0</v>
      </c>
      <c r="AZ19" s="3">
        <f t="shared" si="127"/>
        <v>0</v>
      </c>
      <c r="BB19" s="3">
        <v>17</v>
      </c>
      <c r="BC19" s="3" t="s">
        <v>16</v>
      </c>
      <c r="BD19" s="4"/>
      <c r="BO19" s="5"/>
      <c r="BP19" s="4"/>
      <c r="CA19" s="5"/>
      <c r="CB19" s="4"/>
      <c r="CM19" s="5"/>
      <c r="CN19" s="4"/>
      <c r="CY19" s="5"/>
      <c r="CZ19" s="4"/>
      <c r="DK19" s="5"/>
      <c r="DL19" s="3">
        <f t="shared" si="26"/>
        <v>0</v>
      </c>
      <c r="DM19" s="3">
        <v>13</v>
      </c>
      <c r="DN19" s="3">
        <f t="shared" si="27"/>
        <v>13</v>
      </c>
      <c r="DO19" s="10">
        <f t="shared" si="28"/>
        <v>0</v>
      </c>
      <c r="DP19" s="3">
        <f t="shared" si="29"/>
        <v>0</v>
      </c>
      <c r="DQ19" s="3">
        <f t="shared" si="30"/>
        <v>0</v>
      </c>
      <c r="DR19" s="3">
        <f t="shared" si="31"/>
        <v>0</v>
      </c>
      <c r="DS19" s="3">
        <f t="shared" si="32"/>
        <v>0</v>
      </c>
      <c r="DT19" s="3">
        <f t="shared" si="33"/>
        <v>0</v>
      </c>
      <c r="DU19" s="3">
        <f t="shared" si="34"/>
        <v>0</v>
      </c>
      <c r="DV19" s="3">
        <f t="shared" si="35"/>
        <v>0</v>
      </c>
      <c r="DW19" s="3">
        <f t="shared" si="36"/>
        <v>0</v>
      </c>
      <c r="DX19" s="3">
        <f t="shared" si="37"/>
        <v>0</v>
      </c>
      <c r="DY19" s="3">
        <f t="shared" si="38"/>
        <v>0</v>
      </c>
      <c r="DZ19" s="3">
        <f t="shared" si="39"/>
        <v>0</v>
      </c>
      <c r="EA19" s="3">
        <f t="shared" si="40"/>
        <v>0</v>
      </c>
      <c r="EB19" s="3">
        <f t="shared" si="41"/>
        <v>0</v>
      </c>
      <c r="EC19" s="3">
        <f t="shared" si="42"/>
        <v>0</v>
      </c>
      <c r="ED19" s="3">
        <f t="shared" si="43"/>
        <v>0</v>
      </c>
      <c r="EE19" s="3">
        <f t="shared" si="44"/>
        <v>0</v>
      </c>
      <c r="EF19" s="3">
        <f t="shared" si="45"/>
        <v>0</v>
      </c>
      <c r="EG19" s="3">
        <f t="shared" si="46"/>
        <v>0</v>
      </c>
      <c r="EH19" s="3">
        <f t="shared" si="47"/>
        <v>0</v>
      </c>
      <c r="EI19" s="3">
        <f t="shared" si="48"/>
        <v>0</v>
      </c>
      <c r="EJ19" s="3">
        <f t="shared" si="49"/>
        <v>0</v>
      </c>
      <c r="EK19" s="3">
        <f t="shared" si="50"/>
        <v>0</v>
      </c>
      <c r="EL19" s="3">
        <f t="shared" si="51"/>
        <v>0</v>
      </c>
      <c r="EM19" s="3">
        <f t="shared" si="52"/>
        <v>0</v>
      </c>
      <c r="EN19" s="3">
        <f t="shared" si="53"/>
        <v>0</v>
      </c>
      <c r="EO19" s="3">
        <f t="shared" si="54"/>
        <v>0</v>
      </c>
      <c r="EP19" s="3">
        <f t="shared" si="55"/>
        <v>0</v>
      </c>
      <c r="EQ19" s="3">
        <f t="shared" si="56"/>
        <v>0</v>
      </c>
      <c r="ER19" s="3">
        <f t="shared" si="57"/>
        <v>0</v>
      </c>
      <c r="ES19" s="3">
        <f t="shared" si="58"/>
        <v>0</v>
      </c>
      <c r="ET19" s="3">
        <f t="shared" si="59"/>
        <v>0</v>
      </c>
      <c r="EU19" s="3">
        <f t="shared" si="60"/>
        <v>0</v>
      </c>
      <c r="EV19" s="3">
        <f t="shared" si="61"/>
        <v>0</v>
      </c>
      <c r="EW19" s="3">
        <f t="shared" si="62"/>
        <v>0</v>
      </c>
      <c r="EX19" s="3">
        <f t="shared" si="63"/>
        <v>0</v>
      </c>
      <c r="EY19" s="3">
        <f t="shared" si="64"/>
        <v>0</v>
      </c>
      <c r="EZ19" s="3">
        <f t="shared" si="65"/>
        <v>0</v>
      </c>
      <c r="FA19" s="3">
        <f t="shared" si="66"/>
        <v>0</v>
      </c>
      <c r="FB19" s="3">
        <f t="shared" si="67"/>
        <v>0</v>
      </c>
      <c r="FC19" s="3">
        <f t="shared" si="68"/>
        <v>0</v>
      </c>
      <c r="FD19" s="3">
        <f t="shared" si="69"/>
        <v>0</v>
      </c>
      <c r="FE19" s="3">
        <f t="shared" si="70"/>
        <v>0</v>
      </c>
      <c r="FF19" s="3">
        <f t="shared" si="71"/>
        <v>0</v>
      </c>
      <c r="FG19" s="3">
        <f t="shared" si="72"/>
        <v>0</v>
      </c>
      <c r="FH19" s="3">
        <f t="shared" si="73"/>
        <v>0</v>
      </c>
      <c r="FI19" s="3">
        <f t="shared" si="74"/>
        <v>0</v>
      </c>
      <c r="FJ19" s="3">
        <f t="shared" si="75"/>
        <v>0</v>
      </c>
      <c r="FK19" s="3">
        <f t="shared" si="76"/>
        <v>0</v>
      </c>
      <c r="FL19" s="3">
        <f t="shared" si="77"/>
        <v>0</v>
      </c>
      <c r="FM19" s="3">
        <f t="shared" si="78"/>
        <v>0</v>
      </c>
      <c r="FN19" s="3">
        <f t="shared" si="79"/>
        <v>0</v>
      </c>
      <c r="FO19" s="3">
        <f t="shared" si="80"/>
        <v>0</v>
      </c>
      <c r="FP19" s="3">
        <f t="shared" si="81"/>
        <v>0</v>
      </c>
      <c r="FQ19" s="3">
        <f t="shared" si="82"/>
        <v>0</v>
      </c>
      <c r="FR19" s="3">
        <f t="shared" si="83"/>
        <v>0</v>
      </c>
      <c r="FS19" s="3">
        <f t="shared" si="84"/>
        <v>0</v>
      </c>
      <c r="FT19" s="3">
        <f t="shared" si="85"/>
        <v>0</v>
      </c>
      <c r="FU19" s="3">
        <f t="shared" si="86"/>
        <v>0</v>
      </c>
      <c r="FV19" s="3">
        <f t="shared" si="87"/>
        <v>0</v>
      </c>
      <c r="FW19" s="3">
        <f t="shared" si="88"/>
        <v>0</v>
      </c>
      <c r="FX19" s="3" t="e">
        <f>#REF!</f>
        <v>#REF!</v>
      </c>
      <c r="FY19" s="3" t="e">
        <f t="shared" si="89"/>
        <v>#REF!</v>
      </c>
    </row>
    <row r="20" spans="1:181" ht="13.9" customHeight="1" x14ac:dyDescent="0.45">
      <c r="A20" s="8">
        <f t="shared" si="8"/>
        <v>18</v>
      </c>
      <c r="B20" s="8" t="s">
        <v>17</v>
      </c>
      <c r="C20" s="8"/>
      <c r="D20" s="8"/>
      <c r="E20" s="8"/>
      <c r="F20" s="8"/>
      <c r="G20" s="8"/>
      <c r="H20" s="8"/>
      <c r="I20" s="8">
        <v>4</v>
      </c>
      <c r="J20" s="8">
        <v>4</v>
      </c>
      <c r="K20" s="8">
        <v>4</v>
      </c>
      <c r="L20" s="8">
        <v>4</v>
      </c>
      <c r="M20" s="8"/>
      <c r="N20" s="8"/>
      <c r="O20" s="8">
        <f t="shared" si="9"/>
        <v>0</v>
      </c>
      <c r="P20" s="8">
        <f t="shared" si="10"/>
        <v>16</v>
      </c>
      <c r="Q20" s="8">
        <f t="shared" si="110"/>
        <v>16</v>
      </c>
      <c r="S20" s="8">
        <f t="shared" si="90"/>
        <v>18</v>
      </c>
      <c r="T20" s="8" t="str">
        <f>B20</f>
        <v>سالم يحيى</v>
      </c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>
        <f t="shared" si="111"/>
        <v>0</v>
      </c>
      <c r="AH20" s="8">
        <f t="shared" si="112"/>
        <v>0</v>
      </c>
      <c r="AI20" s="8">
        <f t="shared" si="113"/>
        <v>0</v>
      </c>
      <c r="AJ20" s="11">
        <v>8</v>
      </c>
      <c r="AK20" s="8">
        <f t="shared" si="91"/>
        <v>18</v>
      </c>
      <c r="AL20" s="8" t="str">
        <f>B20</f>
        <v>سالم يحيى</v>
      </c>
      <c r="AM20" s="8">
        <f t="shared" si="114"/>
        <v>0</v>
      </c>
      <c r="AN20" s="8">
        <f t="shared" si="115"/>
        <v>0</v>
      </c>
      <c r="AO20" s="8">
        <f t="shared" si="116"/>
        <v>0</v>
      </c>
      <c r="AP20" s="8">
        <f t="shared" si="117"/>
        <v>0</v>
      </c>
      <c r="AQ20" s="8">
        <f t="shared" si="118"/>
        <v>0</v>
      </c>
      <c r="AR20" s="8">
        <f t="shared" si="119"/>
        <v>0</v>
      </c>
      <c r="AS20" s="8">
        <f t="shared" si="120"/>
        <v>4</v>
      </c>
      <c r="AT20" s="8">
        <f t="shared" si="121"/>
        <v>4</v>
      </c>
      <c r="AU20" s="8">
        <f t="shared" si="122"/>
        <v>4</v>
      </c>
      <c r="AV20" s="8">
        <f t="shared" si="123"/>
        <v>4</v>
      </c>
      <c r="AW20" s="8">
        <f t="shared" si="124"/>
        <v>0</v>
      </c>
      <c r="AX20" s="8">
        <f t="shared" si="125"/>
        <v>0</v>
      </c>
      <c r="AY20" s="8">
        <f t="shared" si="126"/>
        <v>16</v>
      </c>
      <c r="AZ20" s="3">
        <f t="shared" si="127"/>
        <v>312</v>
      </c>
      <c r="BB20" s="3">
        <v>18</v>
      </c>
      <c r="BC20" s="3" t="s">
        <v>17</v>
      </c>
      <c r="BD20" s="4"/>
      <c r="BO20" s="5"/>
      <c r="BP20" s="4"/>
      <c r="CA20" s="5"/>
      <c r="CB20" s="4"/>
      <c r="CM20" s="5"/>
      <c r="CN20" s="4"/>
      <c r="CY20" s="5"/>
      <c r="CZ20" s="4"/>
      <c r="DK20" s="5"/>
      <c r="DL20" s="3">
        <f t="shared" si="26"/>
        <v>0</v>
      </c>
      <c r="DM20" s="3">
        <v>13</v>
      </c>
      <c r="DN20" s="3">
        <f t="shared" si="27"/>
        <v>13</v>
      </c>
      <c r="DO20" s="10">
        <f t="shared" si="28"/>
        <v>0</v>
      </c>
      <c r="DP20" s="3">
        <f t="shared" si="29"/>
        <v>0</v>
      </c>
      <c r="DQ20" s="3">
        <f t="shared" si="30"/>
        <v>0</v>
      </c>
      <c r="DR20" s="3">
        <f t="shared" si="31"/>
        <v>0</v>
      </c>
      <c r="DS20" s="3">
        <f t="shared" si="32"/>
        <v>0</v>
      </c>
      <c r="DT20" s="3">
        <f t="shared" si="33"/>
        <v>0</v>
      </c>
      <c r="DU20" s="3">
        <f t="shared" si="34"/>
        <v>0</v>
      </c>
      <c r="DV20" s="3">
        <f t="shared" si="35"/>
        <v>0</v>
      </c>
      <c r="DW20" s="3">
        <f t="shared" si="36"/>
        <v>0</v>
      </c>
      <c r="DX20" s="3">
        <f t="shared" si="37"/>
        <v>0</v>
      </c>
      <c r="DY20" s="3">
        <f t="shared" si="38"/>
        <v>0</v>
      </c>
      <c r="DZ20" s="3">
        <f t="shared" si="39"/>
        <v>0</v>
      </c>
      <c r="EA20" s="3">
        <f t="shared" si="40"/>
        <v>0</v>
      </c>
      <c r="EB20" s="3">
        <f t="shared" si="41"/>
        <v>0</v>
      </c>
      <c r="EC20" s="3">
        <f t="shared" si="42"/>
        <v>0</v>
      </c>
      <c r="ED20" s="3">
        <f t="shared" si="43"/>
        <v>0</v>
      </c>
      <c r="EE20" s="3">
        <f t="shared" si="44"/>
        <v>0</v>
      </c>
      <c r="EF20" s="3">
        <f t="shared" si="45"/>
        <v>0</v>
      </c>
      <c r="EG20" s="3">
        <f t="shared" si="46"/>
        <v>0</v>
      </c>
      <c r="EH20" s="3">
        <f t="shared" si="47"/>
        <v>0</v>
      </c>
      <c r="EI20" s="3">
        <f t="shared" si="48"/>
        <v>0</v>
      </c>
      <c r="EJ20" s="3">
        <f t="shared" si="49"/>
        <v>0</v>
      </c>
      <c r="EK20" s="3">
        <f t="shared" si="50"/>
        <v>0</v>
      </c>
      <c r="EL20" s="3">
        <f t="shared" si="51"/>
        <v>0</v>
      </c>
      <c r="EM20" s="3">
        <f t="shared" si="52"/>
        <v>0</v>
      </c>
      <c r="EN20" s="3">
        <f t="shared" si="53"/>
        <v>0</v>
      </c>
      <c r="EO20" s="3">
        <f t="shared" si="54"/>
        <v>0</v>
      </c>
      <c r="EP20" s="3">
        <f t="shared" si="55"/>
        <v>0</v>
      </c>
      <c r="EQ20" s="3">
        <f t="shared" si="56"/>
        <v>0</v>
      </c>
      <c r="ER20" s="3">
        <f t="shared" si="57"/>
        <v>0</v>
      </c>
      <c r="ES20" s="3">
        <f t="shared" si="58"/>
        <v>0</v>
      </c>
      <c r="ET20" s="3">
        <f t="shared" si="59"/>
        <v>0</v>
      </c>
      <c r="EU20" s="3">
        <f t="shared" si="60"/>
        <v>0</v>
      </c>
      <c r="EV20" s="3">
        <f t="shared" si="61"/>
        <v>0</v>
      </c>
      <c r="EW20" s="3">
        <f t="shared" si="62"/>
        <v>0</v>
      </c>
      <c r="EX20" s="3">
        <f t="shared" si="63"/>
        <v>0</v>
      </c>
      <c r="EY20" s="3">
        <f t="shared" si="64"/>
        <v>0</v>
      </c>
      <c r="EZ20" s="3">
        <f t="shared" si="65"/>
        <v>0</v>
      </c>
      <c r="FA20" s="3">
        <f t="shared" si="66"/>
        <v>0</v>
      </c>
      <c r="FB20" s="3">
        <f t="shared" si="67"/>
        <v>0</v>
      </c>
      <c r="FC20" s="3">
        <f t="shared" si="68"/>
        <v>0</v>
      </c>
      <c r="FD20" s="3">
        <f t="shared" si="69"/>
        <v>0</v>
      </c>
      <c r="FE20" s="3">
        <f t="shared" si="70"/>
        <v>0</v>
      </c>
      <c r="FF20" s="3">
        <f t="shared" si="71"/>
        <v>0</v>
      </c>
      <c r="FG20" s="3">
        <f t="shared" si="72"/>
        <v>0</v>
      </c>
      <c r="FH20" s="3">
        <f t="shared" si="73"/>
        <v>0</v>
      </c>
      <c r="FI20" s="3">
        <f t="shared" si="74"/>
        <v>0</v>
      </c>
      <c r="FJ20" s="3">
        <f t="shared" si="75"/>
        <v>0</v>
      </c>
      <c r="FK20" s="3">
        <f t="shared" si="76"/>
        <v>0</v>
      </c>
      <c r="FL20" s="3">
        <f t="shared" si="77"/>
        <v>0</v>
      </c>
      <c r="FM20" s="3">
        <f t="shared" si="78"/>
        <v>0</v>
      </c>
      <c r="FN20" s="3">
        <f t="shared" si="79"/>
        <v>0</v>
      </c>
      <c r="FO20" s="3">
        <f t="shared" si="80"/>
        <v>0</v>
      </c>
      <c r="FP20" s="3">
        <f t="shared" si="81"/>
        <v>0</v>
      </c>
      <c r="FQ20" s="3">
        <f t="shared" si="82"/>
        <v>0</v>
      </c>
      <c r="FR20" s="3">
        <f t="shared" si="83"/>
        <v>0</v>
      </c>
      <c r="FS20" s="3">
        <f t="shared" si="84"/>
        <v>0</v>
      </c>
      <c r="FT20" s="3">
        <f t="shared" si="85"/>
        <v>0</v>
      </c>
      <c r="FU20" s="3">
        <f t="shared" si="86"/>
        <v>0</v>
      </c>
      <c r="FV20" s="3">
        <f t="shared" si="87"/>
        <v>0</v>
      </c>
      <c r="FW20" s="3">
        <f t="shared" si="88"/>
        <v>0</v>
      </c>
      <c r="FX20" s="3" t="e">
        <f>#REF!</f>
        <v>#REF!</v>
      </c>
      <c r="FY20" s="3" t="e">
        <f t="shared" si="89"/>
        <v>#REF!</v>
      </c>
    </row>
    <row r="21" spans="1:181" ht="13.9" customHeight="1" x14ac:dyDescent="0.45">
      <c r="A21" s="8">
        <f t="shared" si="8"/>
        <v>19</v>
      </c>
      <c r="B21" s="8" t="s">
        <v>18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>
        <v>5</v>
      </c>
      <c r="N21" s="8">
        <v>5</v>
      </c>
      <c r="O21" s="8">
        <f t="shared" si="9"/>
        <v>0</v>
      </c>
      <c r="P21" s="8">
        <f t="shared" si="10"/>
        <v>10</v>
      </c>
      <c r="Q21" s="8">
        <f t="shared" si="110"/>
        <v>10</v>
      </c>
      <c r="S21" s="8">
        <f t="shared" si="90"/>
        <v>19</v>
      </c>
      <c r="T21" s="8" t="str">
        <f t="shared" si="128"/>
        <v>محمود</v>
      </c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>
        <f t="shared" si="111"/>
        <v>0</v>
      </c>
      <c r="AH21" s="8">
        <f t="shared" si="112"/>
        <v>0</v>
      </c>
      <c r="AI21" s="8">
        <f t="shared" si="113"/>
        <v>0</v>
      </c>
      <c r="AJ21" s="11">
        <v>9</v>
      </c>
      <c r="AK21" s="8">
        <f t="shared" si="91"/>
        <v>19</v>
      </c>
      <c r="AL21" s="8" t="str">
        <f t="shared" si="129"/>
        <v>محمود</v>
      </c>
      <c r="AM21" s="8">
        <f t="shared" si="114"/>
        <v>0</v>
      </c>
      <c r="AN21" s="8">
        <f t="shared" si="115"/>
        <v>0</v>
      </c>
      <c r="AO21" s="8">
        <f t="shared" si="116"/>
        <v>0</v>
      </c>
      <c r="AP21" s="8">
        <f t="shared" si="117"/>
        <v>0</v>
      </c>
      <c r="AQ21" s="8">
        <f t="shared" si="118"/>
        <v>0</v>
      </c>
      <c r="AR21" s="8">
        <f t="shared" si="119"/>
        <v>0</v>
      </c>
      <c r="AS21" s="8">
        <f t="shared" si="120"/>
        <v>0</v>
      </c>
      <c r="AT21" s="8">
        <f t="shared" si="121"/>
        <v>0</v>
      </c>
      <c r="AU21" s="8">
        <f t="shared" si="122"/>
        <v>0</v>
      </c>
      <c r="AV21" s="8">
        <f t="shared" si="123"/>
        <v>0</v>
      </c>
      <c r="AW21" s="8">
        <f t="shared" si="124"/>
        <v>5</v>
      </c>
      <c r="AX21" s="8">
        <f t="shared" si="125"/>
        <v>5</v>
      </c>
      <c r="AY21" s="8">
        <f t="shared" si="126"/>
        <v>10</v>
      </c>
      <c r="AZ21" s="3">
        <f t="shared" si="127"/>
        <v>210</v>
      </c>
      <c r="BB21" s="3">
        <v>19</v>
      </c>
      <c r="BC21" s="3" t="s">
        <v>18</v>
      </c>
      <c r="BD21" s="4"/>
      <c r="BO21" s="5"/>
      <c r="BP21" s="4"/>
      <c r="CA21" s="5"/>
      <c r="CB21" s="4"/>
      <c r="CM21" s="5"/>
      <c r="CN21" s="4"/>
      <c r="CY21" s="5"/>
      <c r="CZ21" s="4"/>
      <c r="DK21" s="5"/>
      <c r="DL21" s="3">
        <f t="shared" si="26"/>
        <v>0</v>
      </c>
      <c r="DM21" s="3">
        <v>15</v>
      </c>
      <c r="DN21" s="3">
        <f t="shared" si="27"/>
        <v>15</v>
      </c>
      <c r="DO21" s="10">
        <f t="shared" si="28"/>
        <v>0</v>
      </c>
      <c r="DP21" s="3">
        <f t="shared" si="29"/>
        <v>0</v>
      </c>
      <c r="DQ21" s="3">
        <f t="shared" si="30"/>
        <v>0</v>
      </c>
      <c r="DR21" s="3">
        <f t="shared" si="31"/>
        <v>0</v>
      </c>
      <c r="DS21" s="3">
        <f t="shared" si="32"/>
        <v>0</v>
      </c>
      <c r="DT21" s="3">
        <f t="shared" si="33"/>
        <v>0</v>
      </c>
      <c r="DU21" s="3">
        <f t="shared" si="34"/>
        <v>0</v>
      </c>
      <c r="DV21" s="3">
        <f t="shared" si="35"/>
        <v>0</v>
      </c>
      <c r="DW21" s="3">
        <f t="shared" si="36"/>
        <v>0</v>
      </c>
      <c r="DX21" s="3">
        <f t="shared" si="37"/>
        <v>0</v>
      </c>
      <c r="DY21" s="3">
        <f t="shared" si="38"/>
        <v>0</v>
      </c>
      <c r="DZ21" s="3">
        <f t="shared" si="39"/>
        <v>0</v>
      </c>
      <c r="EA21" s="3">
        <f t="shared" si="40"/>
        <v>0</v>
      </c>
      <c r="EB21" s="3">
        <f t="shared" si="41"/>
        <v>0</v>
      </c>
      <c r="EC21" s="3">
        <f t="shared" si="42"/>
        <v>0</v>
      </c>
      <c r="ED21" s="3">
        <f t="shared" si="43"/>
        <v>0</v>
      </c>
      <c r="EE21" s="3">
        <f t="shared" si="44"/>
        <v>0</v>
      </c>
      <c r="EF21" s="3">
        <f t="shared" si="45"/>
        <v>0</v>
      </c>
      <c r="EG21" s="3">
        <f t="shared" si="46"/>
        <v>0</v>
      </c>
      <c r="EH21" s="3">
        <f t="shared" si="47"/>
        <v>0</v>
      </c>
      <c r="EI21" s="3">
        <f t="shared" si="48"/>
        <v>0</v>
      </c>
      <c r="EJ21" s="3">
        <f t="shared" si="49"/>
        <v>0</v>
      </c>
      <c r="EK21" s="3">
        <f t="shared" si="50"/>
        <v>0</v>
      </c>
      <c r="EL21" s="3">
        <f t="shared" si="51"/>
        <v>0</v>
      </c>
      <c r="EM21" s="3">
        <f t="shared" si="52"/>
        <v>0</v>
      </c>
      <c r="EN21" s="3">
        <f t="shared" si="53"/>
        <v>0</v>
      </c>
      <c r="EO21" s="3">
        <f t="shared" si="54"/>
        <v>0</v>
      </c>
      <c r="EP21" s="3">
        <f t="shared" si="55"/>
        <v>0</v>
      </c>
      <c r="EQ21" s="3">
        <f t="shared" si="56"/>
        <v>0</v>
      </c>
      <c r="ER21" s="3">
        <f t="shared" si="57"/>
        <v>0</v>
      </c>
      <c r="ES21" s="3">
        <f t="shared" si="58"/>
        <v>0</v>
      </c>
      <c r="ET21" s="3">
        <f t="shared" si="59"/>
        <v>0</v>
      </c>
      <c r="EU21" s="3">
        <f t="shared" si="60"/>
        <v>0</v>
      </c>
      <c r="EV21" s="3">
        <f t="shared" si="61"/>
        <v>0</v>
      </c>
      <c r="EW21" s="3">
        <f t="shared" si="62"/>
        <v>0</v>
      </c>
      <c r="EX21" s="3">
        <f t="shared" si="63"/>
        <v>0</v>
      </c>
      <c r="EY21" s="3">
        <f t="shared" si="64"/>
        <v>0</v>
      </c>
      <c r="EZ21" s="3">
        <f t="shared" si="65"/>
        <v>0</v>
      </c>
      <c r="FA21" s="3">
        <f t="shared" si="66"/>
        <v>0</v>
      </c>
      <c r="FB21" s="3">
        <f t="shared" si="67"/>
        <v>0</v>
      </c>
      <c r="FC21" s="3">
        <f t="shared" si="68"/>
        <v>0</v>
      </c>
      <c r="FD21" s="3">
        <f t="shared" si="69"/>
        <v>0</v>
      </c>
      <c r="FE21" s="3">
        <f t="shared" si="70"/>
        <v>0</v>
      </c>
      <c r="FF21" s="3">
        <f t="shared" si="71"/>
        <v>0</v>
      </c>
      <c r="FG21" s="3">
        <f t="shared" si="72"/>
        <v>0</v>
      </c>
      <c r="FH21" s="3">
        <f t="shared" si="73"/>
        <v>0</v>
      </c>
      <c r="FI21" s="3">
        <f t="shared" si="74"/>
        <v>0</v>
      </c>
      <c r="FJ21" s="3">
        <f t="shared" si="75"/>
        <v>0</v>
      </c>
      <c r="FK21" s="3">
        <f t="shared" si="76"/>
        <v>0</v>
      </c>
      <c r="FL21" s="3">
        <f t="shared" si="77"/>
        <v>0</v>
      </c>
      <c r="FM21" s="3">
        <f t="shared" si="78"/>
        <v>0</v>
      </c>
      <c r="FN21" s="3">
        <f t="shared" si="79"/>
        <v>0</v>
      </c>
      <c r="FO21" s="3">
        <f t="shared" si="80"/>
        <v>0</v>
      </c>
      <c r="FP21" s="3">
        <f t="shared" si="81"/>
        <v>0</v>
      </c>
      <c r="FQ21" s="3">
        <f t="shared" si="82"/>
        <v>0</v>
      </c>
      <c r="FR21" s="3">
        <f t="shared" si="83"/>
        <v>0</v>
      </c>
      <c r="FS21" s="3">
        <f t="shared" si="84"/>
        <v>0</v>
      </c>
      <c r="FT21" s="3">
        <f t="shared" si="85"/>
        <v>0</v>
      </c>
      <c r="FU21" s="3">
        <f t="shared" si="86"/>
        <v>0</v>
      </c>
      <c r="FV21" s="3">
        <f t="shared" si="87"/>
        <v>0</v>
      </c>
      <c r="FW21" s="3">
        <f t="shared" si="88"/>
        <v>0</v>
      </c>
      <c r="FX21" s="3" t="e">
        <f>#REF!</f>
        <v>#REF!</v>
      </c>
      <c r="FY21" s="3" t="e">
        <f t="shared" si="89"/>
        <v>#REF!</v>
      </c>
    </row>
    <row r="22" spans="1:181" ht="13.9" customHeight="1" x14ac:dyDescent="0.45">
      <c r="A22" s="8">
        <f t="shared" si="8"/>
        <v>20</v>
      </c>
      <c r="B22" s="8" t="s">
        <v>19</v>
      </c>
      <c r="C22" s="8"/>
      <c r="D22" s="8"/>
      <c r="E22" s="8"/>
      <c r="F22" s="8"/>
      <c r="G22" s="8"/>
      <c r="H22" s="8"/>
      <c r="I22" s="8">
        <v>3</v>
      </c>
      <c r="J22" s="8">
        <v>3</v>
      </c>
      <c r="K22" s="8">
        <v>5</v>
      </c>
      <c r="L22" s="8">
        <v>5</v>
      </c>
      <c r="M22" s="8"/>
      <c r="N22" s="8"/>
      <c r="O22" s="8">
        <f t="shared" si="9"/>
        <v>0</v>
      </c>
      <c r="P22" s="8">
        <f t="shared" si="10"/>
        <v>16</v>
      </c>
      <c r="Q22" s="8">
        <f t="shared" si="110"/>
        <v>16</v>
      </c>
      <c r="S22" s="8">
        <f t="shared" si="90"/>
        <v>20</v>
      </c>
      <c r="T22" s="8" t="str">
        <f t="shared" si="128"/>
        <v>حسين سالم</v>
      </c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>
        <f t="shared" si="111"/>
        <v>0</v>
      </c>
      <c r="AH22" s="8">
        <f t="shared" si="112"/>
        <v>0</v>
      </c>
      <c r="AI22" s="8">
        <f t="shared" si="113"/>
        <v>0</v>
      </c>
      <c r="AJ22" s="11">
        <v>10</v>
      </c>
      <c r="AK22" s="8">
        <f t="shared" si="91"/>
        <v>20</v>
      </c>
      <c r="AL22" s="8" t="str">
        <f t="shared" si="129"/>
        <v>حسين سالم</v>
      </c>
      <c r="AM22" s="8">
        <f t="shared" si="114"/>
        <v>0</v>
      </c>
      <c r="AN22" s="8">
        <f t="shared" si="115"/>
        <v>0</v>
      </c>
      <c r="AO22" s="8">
        <f t="shared" si="116"/>
        <v>0</v>
      </c>
      <c r="AP22" s="8">
        <f t="shared" si="117"/>
        <v>0</v>
      </c>
      <c r="AQ22" s="8">
        <f t="shared" si="118"/>
        <v>0</v>
      </c>
      <c r="AR22" s="8">
        <f t="shared" si="119"/>
        <v>0</v>
      </c>
      <c r="AS22" s="8">
        <f t="shared" si="120"/>
        <v>3</v>
      </c>
      <c r="AT22" s="8">
        <f t="shared" si="121"/>
        <v>3</v>
      </c>
      <c r="AU22" s="8">
        <f t="shared" si="122"/>
        <v>5</v>
      </c>
      <c r="AV22" s="8">
        <f t="shared" si="123"/>
        <v>5</v>
      </c>
      <c r="AW22" s="8">
        <f t="shared" si="124"/>
        <v>0</v>
      </c>
      <c r="AX22" s="8">
        <f t="shared" si="125"/>
        <v>0</v>
      </c>
      <c r="AY22" s="8">
        <f t="shared" si="126"/>
        <v>16</v>
      </c>
      <c r="AZ22" s="3">
        <f t="shared" si="127"/>
        <v>314</v>
      </c>
      <c r="BB22" s="3">
        <v>20</v>
      </c>
      <c r="BC22" s="3" t="s">
        <v>19</v>
      </c>
      <c r="BD22" s="4"/>
      <c r="BO22" s="5"/>
      <c r="BP22" s="4"/>
      <c r="CA22" s="5"/>
      <c r="CB22" s="4"/>
      <c r="CM22" s="5"/>
      <c r="CN22" s="4"/>
      <c r="CY22" s="5"/>
      <c r="CZ22" s="4"/>
      <c r="DK22" s="5"/>
      <c r="DL22" s="3">
        <f t="shared" si="26"/>
        <v>0</v>
      </c>
      <c r="DM22" s="3">
        <v>15</v>
      </c>
      <c r="DN22" s="3">
        <f t="shared" si="27"/>
        <v>15</v>
      </c>
      <c r="DO22" s="10">
        <f t="shared" si="28"/>
        <v>0</v>
      </c>
      <c r="DP22" s="3">
        <f t="shared" si="29"/>
        <v>0</v>
      </c>
      <c r="DQ22" s="3">
        <f t="shared" si="30"/>
        <v>0</v>
      </c>
      <c r="DR22" s="3">
        <f t="shared" si="31"/>
        <v>0</v>
      </c>
      <c r="DS22" s="3">
        <f t="shared" si="32"/>
        <v>0</v>
      </c>
      <c r="DT22" s="3">
        <f t="shared" si="33"/>
        <v>0</v>
      </c>
      <c r="DU22" s="3">
        <f t="shared" si="34"/>
        <v>0</v>
      </c>
      <c r="DV22" s="3">
        <f t="shared" si="35"/>
        <v>0</v>
      </c>
      <c r="DW22" s="3">
        <f t="shared" si="36"/>
        <v>0</v>
      </c>
      <c r="DX22" s="3">
        <f t="shared" si="37"/>
        <v>0</v>
      </c>
      <c r="DY22" s="3">
        <f t="shared" si="38"/>
        <v>0</v>
      </c>
      <c r="DZ22" s="3">
        <f t="shared" si="39"/>
        <v>0</v>
      </c>
      <c r="EA22" s="3">
        <f t="shared" si="40"/>
        <v>0</v>
      </c>
      <c r="EB22" s="3">
        <f t="shared" si="41"/>
        <v>0</v>
      </c>
      <c r="EC22" s="3">
        <f t="shared" si="42"/>
        <v>0</v>
      </c>
      <c r="ED22" s="3">
        <f t="shared" si="43"/>
        <v>0</v>
      </c>
      <c r="EE22" s="3">
        <f t="shared" si="44"/>
        <v>0</v>
      </c>
      <c r="EF22" s="3">
        <f t="shared" si="45"/>
        <v>0</v>
      </c>
      <c r="EG22" s="3">
        <f t="shared" si="46"/>
        <v>0</v>
      </c>
      <c r="EH22" s="3">
        <f t="shared" si="47"/>
        <v>0</v>
      </c>
      <c r="EI22" s="3">
        <f t="shared" si="48"/>
        <v>0</v>
      </c>
      <c r="EJ22" s="3">
        <f t="shared" si="49"/>
        <v>0</v>
      </c>
      <c r="EK22" s="3">
        <f t="shared" si="50"/>
        <v>0</v>
      </c>
      <c r="EL22" s="3">
        <f t="shared" si="51"/>
        <v>0</v>
      </c>
      <c r="EM22" s="3">
        <f t="shared" si="52"/>
        <v>0</v>
      </c>
      <c r="EN22" s="3">
        <f t="shared" si="53"/>
        <v>0</v>
      </c>
      <c r="EO22" s="3">
        <f t="shared" si="54"/>
        <v>0</v>
      </c>
      <c r="EP22" s="3">
        <f t="shared" si="55"/>
        <v>0</v>
      </c>
      <c r="EQ22" s="3">
        <f t="shared" si="56"/>
        <v>0</v>
      </c>
      <c r="ER22" s="3">
        <f t="shared" si="57"/>
        <v>0</v>
      </c>
      <c r="ES22" s="3">
        <f t="shared" si="58"/>
        <v>0</v>
      </c>
      <c r="ET22" s="3">
        <f t="shared" si="59"/>
        <v>0</v>
      </c>
      <c r="EU22" s="3">
        <f t="shared" si="60"/>
        <v>0</v>
      </c>
      <c r="EV22" s="3">
        <f t="shared" si="61"/>
        <v>0</v>
      </c>
      <c r="EW22" s="3">
        <f t="shared" si="62"/>
        <v>0</v>
      </c>
      <c r="EX22" s="3">
        <f t="shared" si="63"/>
        <v>0</v>
      </c>
      <c r="EY22" s="3">
        <f t="shared" si="64"/>
        <v>0</v>
      </c>
      <c r="EZ22" s="3">
        <f t="shared" si="65"/>
        <v>0</v>
      </c>
      <c r="FA22" s="3">
        <f t="shared" si="66"/>
        <v>0</v>
      </c>
      <c r="FB22" s="3">
        <f t="shared" si="67"/>
        <v>0</v>
      </c>
      <c r="FC22" s="3">
        <f t="shared" si="68"/>
        <v>0</v>
      </c>
      <c r="FD22" s="3">
        <f t="shared" si="69"/>
        <v>0</v>
      </c>
      <c r="FE22" s="3">
        <f t="shared" si="70"/>
        <v>0</v>
      </c>
      <c r="FF22" s="3">
        <f t="shared" si="71"/>
        <v>0</v>
      </c>
      <c r="FG22" s="3">
        <f t="shared" si="72"/>
        <v>0</v>
      </c>
      <c r="FH22" s="3">
        <f t="shared" si="73"/>
        <v>0</v>
      </c>
      <c r="FI22" s="3">
        <f t="shared" si="74"/>
        <v>0</v>
      </c>
      <c r="FJ22" s="3">
        <f t="shared" si="75"/>
        <v>0</v>
      </c>
      <c r="FK22" s="3">
        <f t="shared" si="76"/>
        <v>0</v>
      </c>
      <c r="FL22" s="3">
        <f t="shared" si="77"/>
        <v>0</v>
      </c>
      <c r="FM22" s="3">
        <f t="shared" si="78"/>
        <v>0</v>
      </c>
      <c r="FN22" s="3">
        <f t="shared" si="79"/>
        <v>0</v>
      </c>
      <c r="FO22" s="3">
        <f t="shared" si="80"/>
        <v>0</v>
      </c>
      <c r="FP22" s="3">
        <f t="shared" si="81"/>
        <v>0</v>
      </c>
      <c r="FQ22" s="3">
        <f t="shared" si="82"/>
        <v>0</v>
      </c>
      <c r="FR22" s="3">
        <f t="shared" si="83"/>
        <v>0</v>
      </c>
      <c r="FS22" s="3">
        <f t="shared" si="84"/>
        <v>0</v>
      </c>
      <c r="FT22" s="3">
        <f t="shared" si="85"/>
        <v>0</v>
      </c>
      <c r="FU22" s="3">
        <f t="shared" si="86"/>
        <v>0</v>
      </c>
      <c r="FV22" s="3">
        <f t="shared" si="87"/>
        <v>0</v>
      </c>
      <c r="FW22" s="3">
        <f t="shared" si="88"/>
        <v>0</v>
      </c>
      <c r="FX22" s="3" t="e">
        <f>#REF!</f>
        <v>#REF!</v>
      </c>
      <c r="FY22" s="3" t="e">
        <f t="shared" si="89"/>
        <v>#REF!</v>
      </c>
    </row>
    <row r="23" spans="1:181" ht="13.9" customHeight="1" x14ac:dyDescent="0.45">
      <c r="A23" s="8">
        <f t="shared" si="8"/>
        <v>21</v>
      </c>
      <c r="B23" s="8" t="s">
        <v>61</v>
      </c>
      <c r="C23" s="8"/>
      <c r="D23" s="8"/>
      <c r="E23" s="8">
        <v>4</v>
      </c>
      <c r="F23" s="8">
        <v>4</v>
      </c>
      <c r="G23" s="8"/>
      <c r="H23" s="8"/>
      <c r="I23" s="8"/>
      <c r="J23" s="8"/>
      <c r="K23" s="8"/>
      <c r="L23" s="8"/>
      <c r="M23" s="8">
        <v>3</v>
      </c>
      <c r="N23" s="8">
        <v>3</v>
      </c>
      <c r="O23" s="8">
        <f t="shared" si="9"/>
        <v>8</v>
      </c>
      <c r="P23" s="8">
        <f t="shared" si="10"/>
        <v>6</v>
      </c>
      <c r="Q23" s="8">
        <f t="shared" ref="Q23:Q25" si="130">SUM(C23:N23)</f>
        <v>14</v>
      </c>
      <c r="S23" s="8">
        <f t="shared" si="90"/>
        <v>21</v>
      </c>
      <c r="T23" s="8" t="str">
        <f t="shared" ref="T23:T25" si="131">B23</f>
        <v>حسين الفيفيي</v>
      </c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>
        <f t="shared" ref="AG23:AG25" si="132">SUM(U23:AB23)</f>
        <v>0</v>
      </c>
      <c r="AH23" s="8">
        <f t="shared" ref="AH23:AH25" si="133">SUM(AA23:AF23)</f>
        <v>0</v>
      </c>
      <c r="AI23" s="8">
        <f t="shared" ref="AI23:AI25" si="134">AH23+AG23</f>
        <v>0</v>
      </c>
      <c r="AJ23" s="11">
        <v>11</v>
      </c>
      <c r="AK23" s="8">
        <f t="shared" si="91"/>
        <v>21</v>
      </c>
      <c r="AL23" s="8" t="str">
        <f t="shared" ref="AL23:AL25" si="135">B23</f>
        <v>حسين الفيفيي</v>
      </c>
      <c r="AM23" s="8">
        <f t="shared" ref="AM23:AM25" si="136">C23-U23</f>
        <v>0</v>
      </c>
      <c r="AN23" s="8">
        <f t="shared" ref="AN23:AN25" si="137">D23-V23</f>
        <v>0</v>
      </c>
      <c r="AO23" s="8">
        <f t="shared" ref="AO23:AO25" si="138">E23-W23</f>
        <v>4</v>
      </c>
      <c r="AP23" s="8">
        <f t="shared" ref="AP23:AP25" si="139">F23-X23</f>
        <v>4</v>
      </c>
      <c r="AQ23" s="8">
        <f t="shared" ref="AQ23:AQ25" si="140">G23-Y23</f>
        <v>0</v>
      </c>
      <c r="AR23" s="8">
        <f t="shared" ref="AR23:AR25" si="141">H23-Z23</f>
        <v>0</v>
      </c>
      <c r="AS23" s="8">
        <f t="shared" ref="AS23:AS25" si="142">I23-AA23</f>
        <v>0</v>
      </c>
      <c r="AT23" s="8">
        <f t="shared" ref="AT23:AT25" si="143">J23-AB23</f>
        <v>0</v>
      </c>
      <c r="AU23" s="8">
        <f t="shared" ref="AU23:AU25" si="144">K23-AC23</f>
        <v>0</v>
      </c>
      <c r="AV23" s="8">
        <f t="shared" ref="AV23:AV25" si="145">L23-AD23</f>
        <v>0</v>
      </c>
      <c r="AW23" s="8">
        <f t="shared" ref="AW23:AW25" si="146">M23-AE23</f>
        <v>3</v>
      </c>
      <c r="AX23" s="8">
        <f t="shared" ref="AX23:AX25" si="147">N23-AF23</f>
        <v>3</v>
      </c>
      <c r="AY23" s="8">
        <f t="shared" ref="AY23:AY25" si="148">SUM(AM23:AX23)</f>
        <v>14</v>
      </c>
      <c r="AZ23" s="3">
        <f t="shared" ref="AZ23:AZ25" si="149">AX23*$AX$2+AW23*$AW$2+AV23*$AV$2+AU23*$AU$2+AT23*$AT$2+AS23*$AS$2+AR23*$AR$2+AQ23*$AQ$2+AP23*$AP$2+AO23*$AO$2+AN23*$AN$2+AM23*$AM$2</f>
        <v>262</v>
      </c>
      <c r="BD23" s="4"/>
      <c r="BO23" s="5"/>
      <c r="BP23" s="4"/>
      <c r="CA23" s="5"/>
      <c r="CB23" s="4"/>
      <c r="CM23" s="5"/>
      <c r="CN23" s="4"/>
      <c r="CY23" s="5"/>
      <c r="CZ23" s="4"/>
      <c r="DK23" s="5"/>
      <c r="DO23" s="10"/>
    </row>
    <row r="24" spans="1:181" ht="13.9" customHeight="1" x14ac:dyDescent="0.45">
      <c r="A24" s="8">
        <f t="shared" si="8"/>
        <v>22</v>
      </c>
      <c r="B24" s="8" t="s">
        <v>20</v>
      </c>
      <c r="C24" s="8">
        <v>6</v>
      </c>
      <c r="D24" s="8"/>
      <c r="E24" s="8"/>
      <c r="F24" s="8"/>
      <c r="G24" s="8"/>
      <c r="H24" s="8"/>
      <c r="I24" s="8"/>
      <c r="J24" s="8"/>
      <c r="K24" s="8"/>
      <c r="L24" s="8"/>
      <c r="M24" s="8">
        <v>4</v>
      </c>
      <c r="N24" s="8">
        <v>4</v>
      </c>
      <c r="O24" s="8">
        <f t="shared" si="9"/>
        <v>6</v>
      </c>
      <c r="P24" s="8">
        <f t="shared" si="10"/>
        <v>8</v>
      </c>
      <c r="Q24" s="8">
        <f t="shared" si="130"/>
        <v>14</v>
      </c>
      <c r="S24" s="8">
        <f t="shared" si="90"/>
        <v>22</v>
      </c>
      <c r="T24" s="8" t="str">
        <f t="shared" si="131"/>
        <v>ابراهيم</v>
      </c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>
        <f t="shared" si="132"/>
        <v>0</v>
      </c>
      <c r="AH24" s="8">
        <f t="shared" si="133"/>
        <v>0</v>
      </c>
      <c r="AI24" s="8">
        <f t="shared" si="134"/>
        <v>0</v>
      </c>
      <c r="AJ24" s="11">
        <v>12</v>
      </c>
      <c r="AK24" s="8">
        <f t="shared" si="91"/>
        <v>22</v>
      </c>
      <c r="AL24" s="8" t="str">
        <f t="shared" si="135"/>
        <v>ابراهيم</v>
      </c>
      <c r="AM24" s="8">
        <f t="shared" si="136"/>
        <v>6</v>
      </c>
      <c r="AN24" s="8">
        <f t="shared" si="137"/>
        <v>0</v>
      </c>
      <c r="AO24" s="8">
        <f t="shared" si="138"/>
        <v>0</v>
      </c>
      <c r="AP24" s="8">
        <f t="shared" si="139"/>
        <v>0</v>
      </c>
      <c r="AQ24" s="8">
        <f t="shared" si="140"/>
        <v>0</v>
      </c>
      <c r="AR24" s="8">
        <f t="shared" si="141"/>
        <v>0</v>
      </c>
      <c r="AS24" s="8">
        <f t="shared" si="142"/>
        <v>0</v>
      </c>
      <c r="AT24" s="8">
        <f t="shared" si="143"/>
        <v>0</v>
      </c>
      <c r="AU24" s="8">
        <f t="shared" si="144"/>
        <v>0</v>
      </c>
      <c r="AV24" s="8">
        <f t="shared" si="145"/>
        <v>0</v>
      </c>
      <c r="AW24" s="8">
        <f t="shared" si="146"/>
        <v>4</v>
      </c>
      <c r="AX24" s="8">
        <f t="shared" si="147"/>
        <v>4</v>
      </c>
      <c r="AY24" s="8">
        <f t="shared" si="148"/>
        <v>14</v>
      </c>
      <c r="AZ24" s="3">
        <f t="shared" si="149"/>
        <v>234</v>
      </c>
      <c r="BB24" s="3">
        <v>21</v>
      </c>
      <c r="BC24" s="3" t="s">
        <v>20</v>
      </c>
      <c r="BD24" s="4"/>
      <c r="BO24" s="5"/>
      <c r="BP24" s="4"/>
      <c r="CA24" s="5"/>
      <c r="CB24" s="4"/>
      <c r="CM24" s="5"/>
      <c r="CN24" s="4"/>
      <c r="CY24" s="5"/>
      <c r="CZ24" s="4"/>
      <c r="DK24" s="5"/>
      <c r="DL24" s="3">
        <f t="shared" si="26"/>
        <v>0</v>
      </c>
      <c r="DM24" s="3">
        <v>18</v>
      </c>
      <c r="DN24" s="3">
        <f t="shared" si="27"/>
        <v>18</v>
      </c>
      <c r="DO24" s="10">
        <f t="shared" si="28"/>
        <v>0</v>
      </c>
      <c r="DP24" s="3">
        <f t="shared" si="29"/>
        <v>0</v>
      </c>
      <c r="DQ24" s="3">
        <f t="shared" si="30"/>
        <v>0</v>
      </c>
      <c r="DR24" s="3">
        <f t="shared" si="31"/>
        <v>0</v>
      </c>
      <c r="DS24" s="3">
        <f t="shared" si="32"/>
        <v>0</v>
      </c>
      <c r="DT24" s="3">
        <f t="shared" si="33"/>
        <v>0</v>
      </c>
      <c r="DU24" s="3">
        <f t="shared" si="34"/>
        <v>0</v>
      </c>
      <c r="DV24" s="3">
        <f t="shared" si="35"/>
        <v>0</v>
      </c>
      <c r="DW24" s="3">
        <f t="shared" si="36"/>
        <v>0</v>
      </c>
      <c r="DX24" s="3">
        <f t="shared" si="37"/>
        <v>0</v>
      </c>
      <c r="DY24" s="3">
        <f t="shared" si="38"/>
        <v>0</v>
      </c>
      <c r="DZ24" s="3">
        <f t="shared" si="39"/>
        <v>0</v>
      </c>
      <c r="EA24" s="3">
        <f t="shared" si="40"/>
        <v>0</v>
      </c>
      <c r="EB24" s="3">
        <f t="shared" si="41"/>
        <v>0</v>
      </c>
      <c r="EC24" s="3">
        <f t="shared" si="42"/>
        <v>0</v>
      </c>
      <c r="ED24" s="3">
        <f t="shared" si="43"/>
        <v>0</v>
      </c>
      <c r="EE24" s="3">
        <f t="shared" si="44"/>
        <v>0</v>
      </c>
      <c r="EF24" s="3">
        <f t="shared" si="45"/>
        <v>0</v>
      </c>
      <c r="EG24" s="3">
        <f t="shared" si="46"/>
        <v>0</v>
      </c>
      <c r="EH24" s="3">
        <f t="shared" si="47"/>
        <v>0</v>
      </c>
      <c r="EI24" s="3">
        <f t="shared" si="48"/>
        <v>0</v>
      </c>
      <c r="EJ24" s="3">
        <f t="shared" si="49"/>
        <v>0</v>
      </c>
      <c r="EK24" s="3">
        <f t="shared" si="50"/>
        <v>0</v>
      </c>
      <c r="EL24" s="3">
        <f t="shared" si="51"/>
        <v>0</v>
      </c>
      <c r="EM24" s="3">
        <f t="shared" si="52"/>
        <v>0</v>
      </c>
      <c r="EN24" s="3">
        <f t="shared" si="53"/>
        <v>0</v>
      </c>
      <c r="EO24" s="3">
        <f t="shared" si="54"/>
        <v>0</v>
      </c>
      <c r="EP24" s="3">
        <f t="shared" si="55"/>
        <v>0</v>
      </c>
      <c r="EQ24" s="3">
        <f t="shared" si="56"/>
        <v>0</v>
      </c>
      <c r="ER24" s="3">
        <f t="shared" si="57"/>
        <v>0</v>
      </c>
      <c r="ES24" s="3">
        <f t="shared" si="58"/>
        <v>0</v>
      </c>
      <c r="ET24" s="3">
        <f t="shared" si="59"/>
        <v>0</v>
      </c>
      <c r="EU24" s="3">
        <f t="shared" si="60"/>
        <v>0</v>
      </c>
      <c r="EV24" s="3">
        <f t="shared" si="61"/>
        <v>0</v>
      </c>
      <c r="EW24" s="3">
        <f t="shared" si="62"/>
        <v>0</v>
      </c>
      <c r="EX24" s="3">
        <f t="shared" si="63"/>
        <v>0</v>
      </c>
      <c r="EY24" s="3">
        <f t="shared" si="64"/>
        <v>0</v>
      </c>
      <c r="EZ24" s="3">
        <f t="shared" si="65"/>
        <v>0</v>
      </c>
      <c r="FA24" s="3">
        <f t="shared" si="66"/>
        <v>0</v>
      </c>
      <c r="FB24" s="3">
        <f t="shared" si="67"/>
        <v>0</v>
      </c>
      <c r="FC24" s="3">
        <f t="shared" si="68"/>
        <v>0</v>
      </c>
      <c r="FD24" s="3">
        <f t="shared" si="69"/>
        <v>0</v>
      </c>
      <c r="FE24" s="3">
        <f t="shared" si="70"/>
        <v>0</v>
      </c>
      <c r="FF24" s="3">
        <f t="shared" si="71"/>
        <v>0</v>
      </c>
      <c r="FG24" s="3">
        <f t="shared" si="72"/>
        <v>0</v>
      </c>
      <c r="FH24" s="3">
        <f t="shared" si="73"/>
        <v>0</v>
      </c>
      <c r="FI24" s="3">
        <f t="shared" si="74"/>
        <v>0</v>
      </c>
      <c r="FJ24" s="3">
        <f t="shared" si="75"/>
        <v>0</v>
      </c>
      <c r="FK24" s="3">
        <f t="shared" si="76"/>
        <v>0</v>
      </c>
      <c r="FL24" s="3">
        <f t="shared" si="77"/>
        <v>0</v>
      </c>
      <c r="FM24" s="3">
        <f t="shared" si="78"/>
        <v>0</v>
      </c>
      <c r="FN24" s="3">
        <f t="shared" si="79"/>
        <v>0</v>
      </c>
      <c r="FO24" s="3">
        <f t="shared" si="80"/>
        <v>0</v>
      </c>
      <c r="FP24" s="3">
        <f t="shared" si="81"/>
        <v>0</v>
      </c>
      <c r="FQ24" s="3">
        <f t="shared" si="82"/>
        <v>0</v>
      </c>
      <c r="FR24" s="3">
        <f t="shared" si="83"/>
        <v>0</v>
      </c>
      <c r="FS24" s="3">
        <f t="shared" si="84"/>
        <v>0</v>
      </c>
      <c r="FT24" s="3">
        <f t="shared" si="85"/>
        <v>0</v>
      </c>
      <c r="FU24" s="3">
        <f t="shared" si="86"/>
        <v>0</v>
      </c>
      <c r="FV24" s="3">
        <f t="shared" si="87"/>
        <v>0</v>
      </c>
      <c r="FW24" s="3">
        <f t="shared" si="88"/>
        <v>0</v>
      </c>
      <c r="FX24" s="3" t="e">
        <f>#REF!</f>
        <v>#REF!</v>
      </c>
      <c r="FY24" s="3" t="e">
        <f t="shared" si="89"/>
        <v>#REF!</v>
      </c>
    </row>
    <row r="25" spans="1:181" ht="13.9" customHeight="1" x14ac:dyDescent="0.45">
      <c r="A25" s="8">
        <f t="shared" si="8"/>
        <v>23</v>
      </c>
      <c r="B25" s="8" t="s">
        <v>41</v>
      </c>
      <c r="C25" s="8"/>
      <c r="D25" s="8"/>
      <c r="E25" s="8"/>
      <c r="F25" s="8"/>
      <c r="G25" s="8"/>
      <c r="H25" s="8"/>
      <c r="I25" s="8">
        <v>3</v>
      </c>
      <c r="J25" s="8">
        <v>3</v>
      </c>
      <c r="K25" s="8">
        <v>4</v>
      </c>
      <c r="L25" s="8">
        <v>4</v>
      </c>
      <c r="M25" s="8"/>
      <c r="N25" s="8"/>
      <c r="O25" s="8">
        <f t="shared" si="9"/>
        <v>0</v>
      </c>
      <c r="P25" s="8">
        <f t="shared" si="10"/>
        <v>14</v>
      </c>
      <c r="Q25" s="8">
        <f t="shared" si="130"/>
        <v>14</v>
      </c>
      <c r="S25" s="8">
        <f t="shared" si="90"/>
        <v>23</v>
      </c>
      <c r="T25" s="8" t="str">
        <f t="shared" si="131"/>
        <v>سلمان محيي</v>
      </c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>
        <f t="shared" si="132"/>
        <v>0</v>
      </c>
      <c r="AH25" s="8">
        <f t="shared" si="133"/>
        <v>0</v>
      </c>
      <c r="AI25" s="8">
        <f t="shared" si="134"/>
        <v>0</v>
      </c>
      <c r="AJ25" s="11">
        <v>13</v>
      </c>
      <c r="AK25" s="8">
        <f t="shared" si="91"/>
        <v>23</v>
      </c>
      <c r="AL25" s="8" t="str">
        <f t="shared" si="135"/>
        <v>سلمان محيي</v>
      </c>
      <c r="AM25" s="8">
        <f t="shared" si="136"/>
        <v>0</v>
      </c>
      <c r="AN25" s="8">
        <f t="shared" si="137"/>
        <v>0</v>
      </c>
      <c r="AO25" s="8">
        <f t="shared" si="138"/>
        <v>0</v>
      </c>
      <c r="AP25" s="8">
        <f t="shared" si="139"/>
        <v>0</v>
      </c>
      <c r="AQ25" s="8">
        <f t="shared" si="140"/>
        <v>0</v>
      </c>
      <c r="AR25" s="8">
        <f t="shared" si="141"/>
        <v>0</v>
      </c>
      <c r="AS25" s="8">
        <f t="shared" si="142"/>
        <v>3</v>
      </c>
      <c r="AT25" s="8">
        <f t="shared" si="143"/>
        <v>3</v>
      </c>
      <c r="AU25" s="8">
        <f t="shared" si="144"/>
        <v>4</v>
      </c>
      <c r="AV25" s="8">
        <f t="shared" si="145"/>
        <v>4</v>
      </c>
      <c r="AW25" s="8">
        <f t="shared" si="146"/>
        <v>0</v>
      </c>
      <c r="AX25" s="8">
        <f t="shared" si="147"/>
        <v>0</v>
      </c>
      <c r="AY25" s="8">
        <f t="shared" si="148"/>
        <v>14</v>
      </c>
      <c r="AZ25" s="3">
        <f t="shared" si="149"/>
        <v>274</v>
      </c>
      <c r="BD25" s="4"/>
      <c r="BO25" s="5"/>
      <c r="BP25" s="4"/>
      <c r="CA25" s="5"/>
      <c r="CB25" s="4"/>
      <c r="CM25" s="5"/>
      <c r="CN25" s="4"/>
      <c r="CY25" s="5"/>
      <c r="CZ25" s="4"/>
      <c r="DK25" s="5"/>
      <c r="DO25" s="10"/>
    </row>
    <row r="26" spans="1:181" ht="13.9" customHeight="1" x14ac:dyDescent="0.45">
      <c r="A26" s="8">
        <f t="shared" si="8"/>
        <v>24</v>
      </c>
      <c r="B26" s="8" t="s">
        <v>22</v>
      </c>
      <c r="C26" s="8">
        <v>4</v>
      </c>
      <c r="D26" s="8"/>
      <c r="E26" s="8"/>
      <c r="F26" s="8"/>
      <c r="G26" s="8"/>
      <c r="H26" s="8"/>
      <c r="I26" s="8"/>
      <c r="J26" s="8"/>
      <c r="K26" s="8"/>
      <c r="L26" s="8"/>
      <c r="M26" s="8">
        <v>5</v>
      </c>
      <c r="N26" s="8">
        <v>5</v>
      </c>
      <c r="O26" s="8">
        <f t="shared" si="9"/>
        <v>4</v>
      </c>
      <c r="P26" s="8">
        <f t="shared" si="10"/>
        <v>10</v>
      </c>
      <c r="Q26" s="8">
        <f t="shared" si="110"/>
        <v>14</v>
      </c>
      <c r="S26" s="8">
        <f t="shared" si="90"/>
        <v>24</v>
      </c>
      <c r="T26" s="8" t="str">
        <f t="shared" si="128"/>
        <v>حسين العمري</v>
      </c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>
        <f t="shared" si="111"/>
        <v>0</v>
      </c>
      <c r="AH26" s="8">
        <f t="shared" si="112"/>
        <v>0</v>
      </c>
      <c r="AI26" s="8">
        <f t="shared" si="113"/>
        <v>0</v>
      </c>
      <c r="AJ26" s="11">
        <v>13</v>
      </c>
      <c r="AK26" s="8">
        <f t="shared" si="91"/>
        <v>24</v>
      </c>
      <c r="AL26" s="8" t="str">
        <f t="shared" si="129"/>
        <v>حسين العمري</v>
      </c>
      <c r="AM26" s="8">
        <f t="shared" si="114"/>
        <v>4</v>
      </c>
      <c r="AN26" s="8">
        <f t="shared" si="115"/>
        <v>0</v>
      </c>
      <c r="AO26" s="8">
        <f t="shared" si="116"/>
        <v>0</v>
      </c>
      <c r="AP26" s="8">
        <f t="shared" si="117"/>
        <v>0</v>
      </c>
      <c r="AQ26" s="8">
        <f t="shared" si="118"/>
        <v>0</v>
      </c>
      <c r="AR26" s="8">
        <f t="shared" si="119"/>
        <v>0</v>
      </c>
      <c r="AS26" s="8">
        <f t="shared" si="120"/>
        <v>0</v>
      </c>
      <c r="AT26" s="8">
        <f t="shared" si="121"/>
        <v>0</v>
      </c>
      <c r="AU26" s="8">
        <f t="shared" si="122"/>
        <v>0</v>
      </c>
      <c r="AV26" s="8">
        <f t="shared" si="123"/>
        <v>0</v>
      </c>
      <c r="AW26" s="8">
        <f t="shared" si="124"/>
        <v>5</v>
      </c>
      <c r="AX26" s="8">
        <f t="shared" si="125"/>
        <v>5</v>
      </c>
      <c r="AY26" s="8">
        <f t="shared" si="126"/>
        <v>14</v>
      </c>
      <c r="AZ26" s="3">
        <f t="shared" si="127"/>
        <v>254</v>
      </c>
      <c r="BB26" s="3">
        <v>22</v>
      </c>
      <c r="BC26" s="3" t="s">
        <v>21</v>
      </c>
      <c r="BD26" s="4"/>
      <c r="BO26" s="5"/>
      <c r="BP26" s="4"/>
      <c r="CA26" s="5"/>
      <c r="CB26" s="4"/>
      <c r="CM26" s="5"/>
      <c r="CN26" s="4"/>
      <c r="CY26" s="5"/>
      <c r="CZ26" s="4"/>
      <c r="DK26" s="5"/>
      <c r="DL26" s="3">
        <f t="shared" si="26"/>
        <v>0</v>
      </c>
      <c r="DM26" s="3">
        <v>18</v>
      </c>
      <c r="DN26" s="3">
        <f t="shared" si="27"/>
        <v>18</v>
      </c>
      <c r="DO26" s="10">
        <f t="shared" si="28"/>
        <v>0</v>
      </c>
      <c r="DP26" s="3">
        <f t="shared" si="29"/>
        <v>0</v>
      </c>
      <c r="DQ26" s="3">
        <f t="shared" si="30"/>
        <v>0</v>
      </c>
      <c r="DR26" s="3">
        <f t="shared" si="31"/>
        <v>0</v>
      </c>
      <c r="DS26" s="3">
        <f t="shared" si="32"/>
        <v>0</v>
      </c>
      <c r="DT26" s="3">
        <f t="shared" si="33"/>
        <v>0</v>
      </c>
      <c r="DU26" s="3">
        <f t="shared" si="34"/>
        <v>0</v>
      </c>
      <c r="DV26" s="3">
        <f t="shared" si="35"/>
        <v>0</v>
      </c>
      <c r="DW26" s="3">
        <f t="shared" si="36"/>
        <v>0</v>
      </c>
      <c r="DX26" s="3">
        <f t="shared" si="37"/>
        <v>0</v>
      </c>
      <c r="DY26" s="3">
        <f t="shared" si="38"/>
        <v>0</v>
      </c>
      <c r="DZ26" s="3">
        <f t="shared" si="39"/>
        <v>0</v>
      </c>
      <c r="EA26" s="3">
        <f t="shared" si="40"/>
        <v>0</v>
      </c>
      <c r="EB26" s="3">
        <f t="shared" si="41"/>
        <v>0</v>
      </c>
      <c r="EC26" s="3">
        <f t="shared" si="42"/>
        <v>0</v>
      </c>
      <c r="ED26" s="3">
        <f t="shared" si="43"/>
        <v>0</v>
      </c>
      <c r="EE26" s="3">
        <f t="shared" si="44"/>
        <v>0</v>
      </c>
      <c r="EF26" s="3">
        <f t="shared" si="45"/>
        <v>0</v>
      </c>
      <c r="EG26" s="3">
        <f t="shared" si="46"/>
        <v>0</v>
      </c>
      <c r="EH26" s="3">
        <f t="shared" si="47"/>
        <v>0</v>
      </c>
      <c r="EI26" s="3">
        <f t="shared" si="48"/>
        <v>0</v>
      </c>
      <c r="EJ26" s="3">
        <f t="shared" si="49"/>
        <v>0</v>
      </c>
      <c r="EK26" s="3">
        <f t="shared" si="50"/>
        <v>0</v>
      </c>
      <c r="EL26" s="3">
        <f t="shared" si="51"/>
        <v>0</v>
      </c>
      <c r="EM26" s="3">
        <f t="shared" si="52"/>
        <v>0</v>
      </c>
      <c r="EN26" s="3">
        <f t="shared" si="53"/>
        <v>0</v>
      </c>
      <c r="EO26" s="3">
        <f t="shared" si="54"/>
        <v>0</v>
      </c>
      <c r="EP26" s="3">
        <f t="shared" si="55"/>
        <v>0</v>
      </c>
      <c r="EQ26" s="3">
        <f t="shared" si="56"/>
        <v>0</v>
      </c>
      <c r="ER26" s="3">
        <f t="shared" si="57"/>
        <v>0</v>
      </c>
      <c r="ES26" s="3">
        <f t="shared" si="58"/>
        <v>0</v>
      </c>
      <c r="ET26" s="3">
        <f t="shared" si="59"/>
        <v>0</v>
      </c>
      <c r="EU26" s="3">
        <f t="shared" si="60"/>
        <v>0</v>
      </c>
      <c r="EV26" s="3">
        <f t="shared" si="61"/>
        <v>0</v>
      </c>
      <c r="EW26" s="3">
        <f t="shared" si="62"/>
        <v>0</v>
      </c>
      <c r="EX26" s="3">
        <f t="shared" si="63"/>
        <v>0</v>
      </c>
      <c r="EY26" s="3">
        <f t="shared" si="64"/>
        <v>0</v>
      </c>
      <c r="EZ26" s="3">
        <f t="shared" si="65"/>
        <v>0</v>
      </c>
      <c r="FA26" s="3">
        <f t="shared" si="66"/>
        <v>0</v>
      </c>
      <c r="FB26" s="3">
        <f t="shared" si="67"/>
        <v>0</v>
      </c>
      <c r="FC26" s="3">
        <f t="shared" si="68"/>
        <v>0</v>
      </c>
      <c r="FD26" s="3">
        <f t="shared" si="69"/>
        <v>0</v>
      </c>
      <c r="FE26" s="3">
        <f t="shared" si="70"/>
        <v>0</v>
      </c>
      <c r="FF26" s="3">
        <f t="shared" si="71"/>
        <v>0</v>
      </c>
      <c r="FG26" s="3">
        <f t="shared" si="72"/>
        <v>0</v>
      </c>
      <c r="FH26" s="3">
        <f t="shared" si="73"/>
        <v>0</v>
      </c>
      <c r="FI26" s="3">
        <f t="shared" si="74"/>
        <v>0</v>
      </c>
      <c r="FJ26" s="3">
        <f t="shared" si="75"/>
        <v>0</v>
      </c>
      <c r="FK26" s="3">
        <f t="shared" si="76"/>
        <v>0</v>
      </c>
      <c r="FL26" s="3">
        <f t="shared" si="77"/>
        <v>0</v>
      </c>
      <c r="FM26" s="3">
        <f t="shared" si="78"/>
        <v>0</v>
      </c>
      <c r="FN26" s="3">
        <f t="shared" si="79"/>
        <v>0</v>
      </c>
      <c r="FO26" s="3">
        <f t="shared" si="80"/>
        <v>0</v>
      </c>
      <c r="FP26" s="3">
        <f t="shared" si="81"/>
        <v>0</v>
      </c>
      <c r="FQ26" s="3">
        <f t="shared" si="82"/>
        <v>0</v>
      </c>
      <c r="FR26" s="3">
        <f t="shared" si="83"/>
        <v>0</v>
      </c>
      <c r="FS26" s="3">
        <f t="shared" si="84"/>
        <v>0</v>
      </c>
      <c r="FT26" s="3">
        <f t="shared" si="85"/>
        <v>0</v>
      </c>
      <c r="FU26" s="3">
        <f t="shared" si="86"/>
        <v>0</v>
      </c>
      <c r="FV26" s="3">
        <f t="shared" si="87"/>
        <v>0</v>
      </c>
      <c r="FW26" s="3">
        <f t="shared" si="88"/>
        <v>0</v>
      </c>
      <c r="FX26" s="3" t="e">
        <f>#REF!</f>
        <v>#REF!</v>
      </c>
      <c r="FY26" s="3" t="e">
        <f t="shared" si="89"/>
        <v>#REF!</v>
      </c>
    </row>
    <row r="27" spans="1:181" ht="13.9" customHeight="1" x14ac:dyDescent="0.45">
      <c r="A27" s="8">
        <f t="shared" si="8"/>
        <v>25</v>
      </c>
      <c r="B27" s="8" t="s">
        <v>23</v>
      </c>
      <c r="C27" s="8"/>
      <c r="D27" s="8"/>
      <c r="E27" s="8">
        <v>4</v>
      </c>
      <c r="F27" s="8">
        <v>4</v>
      </c>
      <c r="G27" s="8"/>
      <c r="H27" s="8"/>
      <c r="I27" s="8"/>
      <c r="J27" s="8"/>
      <c r="K27" s="8">
        <v>5</v>
      </c>
      <c r="L27" s="8">
        <v>5</v>
      </c>
      <c r="M27" s="8"/>
      <c r="N27" s="8"/>
      <c r="O27" s="8">
        <f t="shared" si="9"/>
        <v>8</v>
      </c>
      <c r="P27" s="8">
        <f t="shared" si="10"/>
        <v>10</v>
      </c>
      <c r="Q27" s="8">
        <f t="shared" si="110"/>
        <v>18</v>
      </c>
      <c r="S27" s="8">
        <f t="shared" si="90"/>
        <v>25</v>
      </c>
      <c r="T27" s="8" t="str">
        <f t="shared" si="128"/>
        <v>حسن جبار</v>
      </c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>
        <f t="shared" si="111"/>
        <v>0</v>
      </c>
      <c r="AH27" s="8">
        <f t="shared" si="112"/>
        <v>0</v>
      </c>
      <c r="AI27" s="8">
        <f t="shared" si="113"/>
        <v>0</v>
      </c>
      <c r="AJ27" s="11">
        <v>14</v>
      </c>
      <c r="AK27" s="8">
        <f t="shared" si="91"/>
        <v>25</v>
      </c>
      <c r="AL27" s="8" t="str">
        <f t="shared" si="129"/>
        <v>حسن جبار</v>
      </c>
      <c r="AM27" s="8">
        <f t="shared" si="114"/>
        <v>0</v>
      </c>
      <c r="AN27" s="8">
        <f t="shared" si="115"/>
        <v>0</v>
      </c>
      <c r="AO27" s="8">
        <f t="shared" si="116"/>
        <v>4</v>
      </c>
      <c r="AP27" s="8">
        <f t="shared" si="117"/>
        <v>4</v>
      </c>
      <c r="AQ27" s="8">
        <f t="shared" si="118"/>
        <v>0</v>
      </c>
      <c r="AR27" s="8">
        <f t="shared" si="119"/>
        <v>0</v>
      </c>
      <c r="AS27" s="8">
        <f t="shared" si="120"/>
        <v>0</v>
      </c>
      <c r="AT27" s="8">
        <f t="shared" si="121"/>
        <v>0</v>
      </c>
      <c r="AU27" s="8">
        <f t="shared" si="122"/>
        <v>5</v>
      </c>
      <c r="AV27" s="8">
        <f t="shared" si="123"/>
        <v>5</v>
      </c>
      <c r="AW27" s="8">
        <f t="shared" si="124"/>
        <v>0</v>
      </c>
      <c r="AX27" s="8">
        <f t="shared" si="125"/>
        <v>0</v>
      </c>
      <c r="AY27" s="8">
        <f t="shared" si="126"/>
        <v>18</v>
      </c>
      <c r="AZ27" s="3">
        <f t="shared" si="127"/>
        <v>336</v>
      </c>
      <c r="BB27" s="3">
        <v>23</v>
      </c>
      <c r="BC27" s="3" t="s">
        <v>22</v>
      </c>
      <c r="BD27" s="4"/>
      <c r="BO27" s="5"/>
      <c r="BP27" s="4"/>
      <c r="CA27" s="5"/>
      <c r="CB27" s="4"/>
      <c r="CM27" s="5"/>
      <c r="CN27" s="4"/>
      <c r="CY27" s="5"/>
      <c r="CZ27" s="4"/>
      <c r="DK27" s="5"/>
      <c r="DL27" s="3">
        <f t="shared" si="26"/>
        <v>0</v>
      </c>
      <c r="DM27" s="3">
        <v>13</v>
      </c>
      <c r="DN27" s="3">
        <f t="shared" si="27"/>
        <v>13</v>
      </c>
      <c r="DO27" s="10">
        <f t="shared" si="28"/>
        <v>0</v>
      </c>
      <c r="DP27" s="3">
        <f t="shared" si="29"/>
        <v>0</v>
      </c>
      <c r="DQ27" s="3">
        <f t="shared" si="30"/>
        <v>0</v>
      </c>
      <c r="DR27" s="3">
        <f t="shared" si="31"/>
        <v>0</v>
      </c>
      <c r="DS27" s="3">
        <f t="shared" si="32"/>
        <v>0</v>
      </c>
      <c r="DT27" s="3">
        <f t="shared" si="33"/>
        <v>0</v>
      </c>
      <c r="DU27" s="3">
        <f t="shared" si="34"/>
        <v>0</v>
      </c>
      <c r="DV27" s="3">
        <f t="shared" si="35"/>
        <v>0</v>
      </c>
      <c r="DW27" s="3">
        <f t="shared" si="36"/>
        <v>0</v>
      </c>
      <c r="DX27" s="3">
        <f t="shared" si="37"/>
        <v>0</v>
      </c>
      <c r="DY27" s="3">
        <f t="shared" si="38"/>
        <v>0</v>
      </c>
      <c r="DZ27" s="3">
        <f t="shared" si="39"/>
        <v>0</v>
      </c>
      <c r="EA27" s="3">
        <f t="shared" si="40"/>
        <v>0</v>
      </c>
      <c r="EB27" s="3">
        <f t="shared" si="41"/>
        <v>0</v>
      </c>
      <c r="EC27" s="3">
        <f t="shared" si="42"/>
        <v>0</v>
      </c>
      <c r="ED27" s="3">
        <f t="shared" si="43"/>
        <v>0</v>
      </c>
      <c r="EE27" s="3">
        <f t="shared" si="44"/>
        <v>0</v>
      </c>
      <c r="EF27" s="3">
        <f t="shared" si="45"/>
        <v>0</v>
      </c>
      <c r="EG27" s="3">
        <f t="shared" si="46"/>
        <v>0</v>
      </c>
      <c r="EH27" s="3">
        <f t="shared" si="47"/>
        <v>0</v>
      </c>
      <c r="EI27" s="3">
        <f t="shared" si="48"/>
        <v>0</v>
      </c>
      <c r="EJ27" s="3">
        <f t="shared" si="49"/>
        <v>0</v>
      </c>
      <c r="EK27" s="3">
        <f t="shared" si="50"/>
        <v>0</v>
      </c>
      <c r="EL27" s="3">
        <f t="shared" si="51"/>
        <v>0</v>
      </c>
      <c r="EM27" s="3">
        <f t="shared" si="52"/>
        <v>0</v>
      </c>
      <c r="EN27" s="3">
        <f t="shared" si="53"/>
        <v>0</v>
      </c>
      <c r="EO27" s="3">
        <f t="shared" si="54"/>
        <v>0</v>
      </c>
      <c r="EP27" s="3">
        <f t="shared" si="55"/>
        <v>0</v>
      </c>
      <c r="EQ27" s="3">
        <f t="shared" si="56"/>
        <v>0</v>
      </c>
      <c r="ER27" s="3">
        <f t="shared" si="57"/>
        <v>0</v>
      </c>
      <c r="ES27" s="3">
        <f t="shared" si="58"/>
        <v>0</v>
      </c>
      <c r="ET27" s="3">
        <f t="shared" si="59"/>
        <v>0</v>
      </c>
      <c r="EU27" s="3">
        <f t="shared" si="60"/>
        <v>0</v>
      </c>
      <c r="EV27" s="3">
        <f t="shared" si="61"/>
        <v>0</v>
      </c>
      <c r="EW27" s="3">
        <f t="shared" si="62"/>
        <v>0</v>
      </c>
      <c r="EX27" s="3">
        <f t="shared" si="63"/>
        <v>0</v>
      </c>
      <c r="EY27" s="3">
        <f t="shared" si="64"/>
        <v>0</v>
      </c>
      <c r="EZ27" s="3">
        <f t="shared" si="65"/>
        <v>0</v>
      </c>
      <c r="FA27" s="3">
        <f t="shared" si="66"/>
        <v>0</v>
      </c>
      <c r="FB27" s="3">
        <f t="shared" si="67"/>
        <v>0</v>
      </c>
      <c r="FC27" s="3">
        <f t="shared" si="68"/>
        <v>0</v>
      </c>
      <c r="FD27" s="3">
        <f t="shared" si="69"/>
        <v>0</v>
      </c>
      <c r="FE27" s="3">
        <f t="shared" si="70"/>
        <v>0</v>
      </c>
      <c r="FF27" s="3">
        <f t="shared" si="71"/>
        <v>0</v>
      </c>
      <c r="FG27" s="3">
        <f t="shared" si="72"/>
        <v>0</v>
      </c>
      <c r="FH27" s="3">
        <f t="shared" si="73"/>
        <v>0</v>
      </c>
      <c r="FI27" s="3">
        <f t="shared" si="74"/>
        <v>0</v>
      </c>
      <c r="FJ27" s="3">
        <f t="shared" si="75"/>
        <v>0</v>
      </c>
      <c r="FK27" s="3">
        <f t="shared" si="76"/>
        <v>0</v>
      </c>
      <c r="FL27" s="3">
        <f t="shared" si="77"/>
        <v>0</v>
      </c>
      <c r="FM27" s="3">
        <f t="shared" si="78"/>
        <v>0</v>
      </c>
      <c r="FN27" s="3">
        <f t="shared" si="79"/>
        <v>0</v>
      </c>
      <c r="FO27" s="3">
        <f t="shared" si="80"/>
        <v>0</v>
      </c>
      <c r="FP27" s="3">
        <f t="shared" si="81"/>
        <v>0</v>
      </c>
      <c r="FQ27" s="3">
        <f t="shared" si="82"/>
        <v>0</v>
      </c>
      <c r="FR27" s="3">
        <f t="shared" si="83"/>
        <v>0</v>
      </c>
      <c r="FS27" s="3">
        <f t="shared" si="84"/>
        <v>0</v>
      </c>
      <c r="FT27" s="3">
        <f t="shared" si="85"/>
        <v>0</v>
      </c>
      <c r="FU27" s="3">
        <f t="shared" si="86"/>
        <v>0</v>
      </c>
      <c r="FV27" s="3">
        <f t="shared" si="87"/>
        <v>0</v>
      </c>
      <c r="FW27" s="3">
        <f t="shared" si="88"/>
        <v>0</v>
      </c>
      <c r="FX27" s="3" t="e">
        <f>#REF!</f>
        <v>#REF!</v>
      </c>
      <c r="FY27" s="3" t="e">
        <f t="shared" si="89"/>
        <v>#REF!</v>
      </c>
    </row>
    <row r="28" spans="1:181" ht="13.9" customHeight="1" x14ac:dyDescent="0.45">
      <c r="A28" s="8">
        <f t="shared" si="8"/>
        <v>26</v>
      </c>
      <c r="B28" s="8" t="s">
        <v>40</v>
      </c>
      <c r="C28" s="8"/>
      <c r="D28" s="8"/>
      <c r="E28" s="8"/>
      <c r="F28" s="8"/>
      <c r="G28" s="8">
        <v>4</v>
      </c>
      <c r="H28" s="8">
        <v>4</v>
      </c>
      <c r="I28" s="8"/>
      <c r="J28" s="8"/>
      <c r="K28" s="8">
        <v>2</v>
      </c>
      <c r="L28" s="8">
        <v>2</v>
      </c>
      <c r="M28" s="8"/>
      <c r="N28" s="8"/>
      <c r="O28" s="8">
        <f t="shared" si="9"/>
        <v>8</v>
      </c>
      <c r="P28" s="8">
        <f t="shared" si="10"/>
        <v>4</v>
      </c>
      <c r="Q28" s="8">
        <f t="shared" si="110"/>
        <v>12</v>
      </c>
      <c r="S28" s="8">
        <f t="shared" si="90"/>
        <v>26</v>
      </c>
      <c r="T28" s="8" t="str">
        <f t="shared" si="128"/>
        <v>موسى</v>
      </c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>
        <f t="shared" si="111"/>
        <v>0</v>
      </c>
      <c r="AH28" s="8">
        <f t="shared" si="112"/>
        <v>0</v>
      </c>
      <c r="AI28" s="8">
        <f t="shared" si="113"/>
        <v>0</v>
      </c>
      <c r="AJ28" s="11">
        <v>15</v>
      </c>
      <c r="AK28" s="8">
        <f t="shared" si="91"/>
        <v>26</v>
      </c>
      <c r="AL28" s="8" t="str">
        <f t="shared" si="129"/>
        <v>موسى</v>
      </c>
      <c r="AM28" s="8">
        <f t="shared" si="114"/>
        <v>0</v>
      </c>
      <c r="AN28" s="8">
        <f t="shared" si="115"/>
        <v>0</v>
      </c>
      <c r="AO28" s="8">
        <f t="shared" si="116"/>
        <v>0</v>
      </c>
      <c r="AP28" s="8">
        <f t="shared" si="117"/>
        <v>0</v>
      </c>
      <c r="AQ28" s="8">
        <f t="shared" si="118"/>
        <v>4</v>
      </c>
      <c r="AR28" s="8">
        <f t="shared" si="119"/>
        <v>4</v>
      </c>
      <c r="AS28" s="8">
        <f t="shared" si="120"/>
        <v>0</v>
      </c>
      <c r="AT28" s="8">
        <f t="shared" si="121"/>
        <v>0</v>
      </c>
      <c r="AU28" s="8">
        <f t="shared" si="122"/>
        <v>2</v>
      </c>
      <c r="AV28" s="8">
        <f t="shared" si="123"/>
        <v>2</v>
      </c>
      <c r="AW28" s="8">
        <f t="shared" si="124"/>
        <v>0</v>
      </c>
      <c r="AX28" s="8">
        <f t="shared" si="125"/>
        <v>0</v>
      </c>
      <c r="AY28" s="8">
        <f t="shared" si="126"/>
        <v>12</v>
      </c>
      <c r="AZ28" s="3">
        <f t="shared" si="127"/>
        <v>224</v>
      </c>
      <c r="BB28" s="3">
        <v>24</v>
      </c>
      <c r="BC28" s="3" t="s">
        <v>23</v>
      </c>
      <c r="BD28" s="4"/>
      <c r="BO28" s="5"/>
      <c r="BP28" s="4"/>
      <c r="CA28" s="5"/>
      <c r="CB28" s="4"/>
      <c r="CM28" s="5"/>
      <c r="CN28" s="4"/>
      <c r="CY28" s="5"/>
      <c r="CZ28" s="4"/>
      <c r="DK28" s="5"/>
      <c r="DL28" s="3">
        <f t="shared" si="26"/>
        <v>0</v>
      </c>
      <c r="DM28" s="3">
        <v>13</v>
      </c>
      <c r="DN28" s="3">
        <f t="shared" si="27"/>
        <v>13</v>
      </c>
      <c r="DO28" s="10">
        <f t="shared" si="28"/>
        <v>0</v>
      </c>
      <c r="DP28" s="3">
        <f t="shared" si="29"/>
        <v>0</v>
      </c>
      <c r="DQ28" s="3">
        <f t="shared" si="30"/>
        <v>0</v>
      </c>
      <c r="DR28" s="3">
        <f t="shared" si="31"/>
        <v>0</v>
      </c>
      <c r="DS28" s="3">
        <f t="shared" si="32"/>
        <v>0</v>
      </c>
      <c r="DT28" s="3">
        <f t="shared" si="33"/>
        <v>0</v>
      </c>
      <c r="DU28" s="3">
        <f t="shared" si="34"/>
        <v>0</v>
      </c>
      <c r="DV28" s="3">
        <f t="shared" si="35"/>
        <v>0</v>
      </c>
      <c r="DW28" s="3">
        <f t="shared" si="36"/>
        <v>0</v>
      </c>
      <c r="DX28" s="3">
        <f t="shared" si="37"/>
        <v>0</v>
      </c>
      <c r="DY28" s="3">
        <f t="shared" si="38"/>
        <v>0</v>
      </c>
      <c r="DZ28" s="3">
        <f t="shared" si="39"/>
        <v>0</v>
      </c>
      <c r="EA28" s="3">
        <f t="shared" si="40"/>
        <v>0</v>
      </c>
      <c r="EB28" s="3">
        <f t="shared" si="41"/>
        <v>0</v>
      </c>
      <c r="EC28" s="3">
        <f t="shared" si="42"/>
        <v>0</v>
      </c>
      <c r="ED28" s="3">
        <f t="shared" si="43"/>
        <v>0</v>
      </c>
      <c r="EE28" s="3">
        <f t="shared" si="44"/>
        <v>0</v>
      </c>
      <c r="EF28" s="3">
        <f t="shared" si="45"/>
        <v>0</v>
      </c>
      <c r="EG28" s="3">
        <f t="shared" si="46"/>
        <v>0</v>
      </c>
      <c r="EH28" s="3">
        <f t="shared" si="47"/>
        <v>0</v>
      </c>
      <c r="EI28" s="3">
        <f t="shared" si="48"/>
        <v>0</v>
      </c>
      <c r="EJ28" s="3">
        <f t="shared" si="49"/>
        <v>0</v>
      </c>
      <c r="EK28" s="3">
        <f t="shared" si="50"/>
        <v>0</v>
      </c>
      <c r="EL28" s="3">
        <f t="shared" si="51"/>
        <v>0</v>
      </c>
      <c r="EM28" s="3">
        <f t="shared" si="52"/>
        <v>0</v>
      </c>
      <c r="EN28" s="3">
        <f t="shared" si="53"/>
        <v>0</v>
      </c>
      <c r="EO28" s="3">
        <f t="shared" si="54"/>
        <v>0</v>
      </c>
      <c r="EP28" s="3">
        <f t="shared" si="55"/>
        <v>0</v>
      </c>
      <c r="EQ28" s="3">
        <f t="shared" si="56"/>
        <v>0</v>
      </c>
      <c r="ER28" s="3">
        <f t="shared" si="57"/>
        <v>0</v>
      </c>
      <c r="ES28" s="3">
        <f t="shared" si="58"/>
        <v>0</v>
      </c>
      <c r="ET28" s="3">
        <f t="shared" si="59"/>
        <v>0</v>
      </c>
      <c r="EU28" s="3">
        <f t="shared" si="60"/>
        <v>0</v>
      </c>
      <c r="EV28" s="3">
        <f t="shared" si="61"/>
        <v>0</v>
      </c>
      <c r="EW28" s="3">
        <f t="shared" si="62"/>
        <v>0</v>
      </c>
      <c r="EX28" s="3">
        <f t="shared" si="63"/>
        <v>0</v>
      </c>
      <c r="EY28" s="3">
        <f t="shared" si="64"/>
        <v>0</v>
      </c>
      <c r="EZ28" s="3">
        <f t="shared" si="65"/>
        <v>0</v>
      </c>
      <c r="FA28" s="3">
        <f t="shared" si="66"/>
        <v>0</v>
      </c>
      <c r="FB28" s="3">
        <f t="shared" si="67"/>
        <v>0</v>
      </c>
      <c r="FC28" s="3">
        <f t="shared" si="68"/>
        <v>0</v>
      </c>
      <c r="FD28" s="3">
        <f t="shared" si="69"/>
        <v>0</v>
      </c>
      <c r="FE28" s="3">
        <f t="shared" si="70"/>
        <v>0</v>
      </c>
      <c r="FF28" s="3">
        <f t="shared" si="71"/>
        <v>0</v>
      </c>
      <c r="FG28" s="3">
        <f t="shared" si="72"/>
        <v>0</v>
      </c>
      <c r="FH28" s="3">
        <f t="shared" si="73"/>
        <v>0</v>
      </c>
      <c r="FI28" s="3">
        <f t="shared" si="74"/>
        <v>0</v>
      </c>
      <c r="FJ28" s="3">
        <f t="shared" si="75"/>
        <v>0</v>
      </c>
      <c r="FK28" s="3">
        <f t="shared" si="76"/>
        <v>0</v>
      </c>
      <c r="FL28" s="3">
        <f t="shared" si="77"/>
        <v>0</v>
      </c>
      <c r="FM28" s="3">
        <f t="shared" si="78"/>
        <v>0</v>
      </c>
      <c r="FN28" s="3">
        <f t="shared" si="79"/>
        <v>0</v>
      </c>
      <c r="FO28" s="3">
        <f t="shared" si="80"/>
        <v>0</v>
      </c>
      <c r="FP28" s="3">
        <f t="shared" si="81"/>
        <v>0</v>
      </c>
      <c r="FQ28" s="3">
        <f t="shared" si="82"/>
        <v>0</v>
      </c>
      <c r="FR28" s="3">
        <f t="shared" si="83"/>
        <v>0</v>
      </c>
      <c r="FS28" s="3">
        <f t="shared" si="84"/>
        <v>0</v>
      </c>
      <c r="FT28" s="3">
        <f t="shared" si="85"/>
        <v>0</v>
      </c>
      <c r="FU28" s="3">
        <f t="shared" si="86"/>
        <v>0</v>
      </c>
      <c r="FV28" s="3">
        <f t="shared" si="87"/>
        <v>0</v>
      </c>
      <c r="FW28" s="3">
        <f t="shared" si="88"/>
        <v>0</v>
      </c>
      <c r="FX28" s="3" t="e">
        <f>#REF!</f>
        <v>#REF!</v>
      </c>
      <c r="FY28" s="3" t="e">
        <f t="shared" si="89"/>
        <v>#REF!</v>
      </c>
    </row>
    <row r="29" spans="1:181" ht="13.9" customHeight="1" x14ac:dyDescent="0.45">
      <c r="A29" s="8">
        <f t="shared" si="8"/>
        <v>27</v>
      </c>
      <c r="B29" s="8" t="s">
        <v>25</v>
      </c>
      <c r="C29" s="8"/>
      <c r="D29" s="8"/>
      <c r="E29" s="8"/>
      <c r="F29" s="8"/>
      <c r="G29" s="8">
        <v>2</v>
      </c>
      <c r="H29" s="8">
        <v>2</v>
      </c>
      <c r="I29" s="8"/>
      <c r="J29" s="8"/>
      <c r="K29" s="8">
        <v>3</v>
      </c>
      <c r="L29" s="8">
        <v>3</v>
      </c>
      <c r="M29" s="8"/>
      <c r="N29" s="8"/>
      <c r="O29" s="8">
        <f t="shared" si="9"/>
        <v>4</v>
      </c>
      <c r="P29" s="8">
        <f t="shared" si="10"/>
        <v>6</v>
      </c>
      <c r="Q29" s="8">
        <f t="shared" si="110"/>
        <v>10</v>
      </c>
      <c r="S29" s="8">
        <f t="shared" si="90"/>
        <v>27</v>
      </c>
      <c r="T29" s="8" t="str">
        <f t="shared" si="128"/>
        <v>مهدي</v>
      </c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>
        <f t="shared" si="111"/>
        <v>0</v>
      </c>
      <c r="AH29" s="8">
        <f t="shared" si="112"/>
        <v>0</v>
      </c>
      <c r="AI29" s="8">
        <f t="shared" si="113"/>
        <v>0</v>
      </c>
      <c r="AJ29" s="11">
        <v>16</v>
      </c>
      <c r="AK29" s="8">
        <f t="shared" si="91"/>
        <v>27</v>
      </c>
      <c r="AL29" s="8" t="str">
        <f t="shared" si="129"/>
        <v>مهدي</v>
      </c>
      <c r="AM29" s="8">
        <f t="shared" si="114"/>
        <v>0</v>
      </c>
      <c r="AN29" s="8">
        <f t="shared" si="115"/>
        <v>0</v>
      </c>
      <c r="AO29" s="8">
        <f t="shared" si="116"/>
        <v>0</v>
      </c>
      <c r="AP29" s="8">
        <f t="shared" si="117"/>
        <v>0</v>
      </c>
      <c r="AQ29" s="8">
        <f t="shared" si="118"/>
        <v>2</v>
      </c>
      <c r="AR29" s="8">
        <f t="shared" si="119"/>
        <v>2</v>
      </c>
      <c r="AS29" s="8">
        <f t="shared" si="120"/>
        <v>0</v>
      </c>
      <c r="AT29" s="8">
        <f t="shared" si="121"/>
        <v>0</v>
      </c>
      <c r="AU29" s="8">
        <f t="shared" si="122"/>
        <v>3</v>
      </c>
      <c r="AV29" s="8">
        <f t="shared" si="123"/>
        <v>3</v>
      </c>
      <c r="AW29" s="8">
        <f t="shared" si="124"/>
        <v>0</v>
      </c>
      <c r="AX29" s="8">
        <f t="shared" si="125"/>
        <v>0</v>
      </c>
      <c r="AY29" s="8">
        <f t="shared" si="126"/>
        <v>10</v>
      </c>
      <c r="AZ29" s="3">
        <f t="shared" si="127"/>
        <v>192</v>
      </c>
      <c r="BB29" s="3">
        <v>25</v>
      </c>
      <c r="BC29" s="3" t="s">
        <v>24</v>
      </c>
      <c r="BD29" s="4"/>
      <c r="BO29" s="5"/>
      <c r="BP29" s="4"/>
      <c r="CA29" s="5"/>
      <c r="CB29" s="4"/>
      <c r="CM29" s="5"/>
      <c r="CN29" s="4"/>
      <c r="CY29" s="5"/>
      <c r="CZ29" s="4"/>
      <c r="DK29" s="5"/>
      <c r="DL29" s="3">
        <f t="shared" si="26"/>
        <v>0</v>
      </c>
      <c r="DM29" s="3">
        <v>10</v>
      </c>
      <c r="DN29" s="3">
        <f t="shared" si="27"/>
        <v>10</v>
      </c>
      <c r="DO29" s="10">
        <f t="shared" si="28"/>
        <v>0</v>
      </c>
      <c r="DP29" s="3">
        <f t="shared" si="29"/>
        <v>0</v>
      </c>
      <c r="DQ29" s="3">
        <f t="shared" si="30"/>
        <v>0</v>
      </c>
      <c r="DR29" s="3">
        <f t="shared" si="31"/>
        <v>0</v>
      </c>
      <c r="DS29" s="3">
        <f t="shared" si="32"/>
        <v>0</v>
      </c>
      <c r="DT29" s="3">
        <f t="shared" si="33"/>
        <v>0</v>
      </c>
      <c r="DU29" s="3">
        <f t="shared" si="34"/>
        <v>0</v>
      </c>
      <c r="DV29" s="3">
        <f t="shared" si="35"/>
        <v>0</v>
      </c>
      <c r="DW29" s="3">
        <f t="shared" si="36"/>
        <v>0</v>
      </c>
      <c r="DX29" s="3">
        <f t="shared" si="37"/>
        <v>0</v>
      </c>
      <c r="DY29" s="3">
        <f t="shared" si="38"/>
        <v>0</v>
      </c>
      <c r="DZ29" s="3">
        <f t="shared" si="39"/>
        <v>0</v>
      </c>
      <c r="EA29" s="3">
        <f t="shared" si="40"/>
        <v>0</v>
      </c>
      <c r="EB29" s="3">
        <f t="shared" si="41"/>
        <v>0</v>
      </c>
      <c r="EC29" s="3">
        <f t="shared" si="42"/>
        <v>0</v>
      </c>
      <c r="ED29" s="3">
        <f t="shared" si="43"/>
        <v>0</v>
      </c>
      <c r="EE29" s="3">
        <f t="shared" si="44"/>
        <v>0</v>
      </c>
      <c r="EF29" s="3">
        <f t="shared" si="45"/>
        <v>0</v>
      </c>
      <c r="EG29" s="3">
        <f t="shared" si="46"/>
        <v>0</v>
      </c>
      <c r="EH29" s="3">
        <f t="shared" si="47"/>
        <v>0</v>
      </c>
      <c r="EI29" s="3">
        <f t="shared" si="48"/>
        <v>0</v>
      </c>
      <c r="EJ29" s="3">
        <f t="shared" si="49"/>
        <v>0</v>
      </c>
      <c r="EK29" s="3">
        <f t="shared" si="50"/>
        <v>0</v>
      </c>
      <c r="EL29" s="3">
        <f t="shared" si="51"/>
        <v>0</v>
      </c>
      <c r="EM29" s="3">
        <f t="shared" si="52"/>
        <v>0</v>
      </c>
      <c r="EN29" s="3">
        <f t="shared" si="53"/>
        <v>0</v>
      </c>
      <c r="EO29" s="3">
        <f t="shared" si="54"/>
        <v>0</v>
      </c>
      <c r="EP29" s="3">
        <f t="shared" si="55"/>
        <v>0</v>
      </c>
      <c r="EQ29" s="3">
        <f t="shared" si="56"/>
        <v>0</v>
      </c>
      <c r="ER29" s="3">
        <f t="shared" si="57"/>
        <v>0</v>
      </c>
      <c r="ES29" s="3">
        <f t="shared" si="58"/>
        <v>0</v>
      </c>
      <c r="ET29" s="3">
        <f t="shared" si="59"/>
        <v>0</v>
      </c>
      <c r="EU29" s="3">
        <f t="shared" si="60"/>
        <v>0</v>
      </c>
      <c r="EV29" s="3">
        <f t="shared" si="61"/>
        <v>0</v>
      </c>
      <c r="EW29" s="3">
        <f t="shared" si="62"/>
        <v>0</v>
      </c>
      <c r="EX29" s="3">
        <f t="shared" si="63"/>
        <v>0</v>
      </c>
      <c r="EY29" s="3">
        <f t="shared" si="64"/>
        <v>0</v>
      </c>
      <c r="EZ29" s="3">
        <f t="shared" si="65"/>
        <v>0</v>
      </c>
      <c r="FA29" s="3">
        <f t="shared" si="66"/>
        <v>0</v>
      </c>
      <c r="FB29" s="3">
        <f t="shared" si="67"/>
        <v>0</v>
      </c>
      <c r="FC29" s="3">
        <f t="shared" si="68"/>
        <v>0</v>
      </c>
      <c r="FD29" s="3">
        <f t="shared" si="69"/>
        <v>0</v>
      </c>
      <c r="FE29" s="3">
        <f t="shared" si="70"/>
        <v>0</v>
      </c>
      <c r="FF29" s="3">
        <f t="shared" si="71"/>
        <v>0</v>
      </c>
      <c r="FG29" s="3">
        <f t="shared" si="72"/>
        <v>0</v>
      </c>
      <c r="FH29" s="3">
        <f t="shared" si="73"/>
        <v>0</v>
      </c>
      <c r="FI29" s="3">
        <f t="shared" si="74"/>
        <v>0</v>
      </c>
      <c r="FJ29" s="3">
        <f t="shared" si="75"/>
        <v>0</v>
      </c>
      <c r="FK29" s="3">
        <f t="shared" si="76"/>
        <v>0</v>
      </c>
      <c r="FL29" s="3">
        <f t="shared" si="77"/>
        <v>0</v>
      </c>
      <c r="FM29" s="3">
        <f t="shared" si="78"/>
        <v>0</v>
      </c>
      <c r="FN29" s="3">
        <f t="shared" si="79"/>
        <v>0</v>
      </c>
      <c r="FO29" s="3">
        <f t="shared" si="80"/>
        <v>0</v>
      </c>
      <c r="FP29" s="3">
        <f t="shared" si="81"/>
        <v>0</v>
      </c>
      <c r="FQ29" s="3">
        <f t="shared" si="82"/>
        <v>0</v>
      </c>
      <c r="FR29" s="3">
        <f t="shared" si="83"/>
        <v>0</v>
      </c>
      <c r="FS29" s="3">
        <f t="shared" si="84"/>
        <v>0</v>
      </c>
      <c r="FT29" s="3">
        <f t="shared" si="85"/>
        <v>0</v>
      </c>
      <c r="FU29" s="3">
        <f t="shared" si="86"/>
        <v>0</v>
      </c>
      <c r="FV29" s="3">
        <f t="shared" si="87"/>
        <v>0</v>
      </c>
      <c r="FW29" s="3">
        <f t="shared" si="88"/>
        <v>0</v>
      </c>
      <c r="FX29" s="3" t="e">
        <f>#REF!</f>
        <v>#REF!</v>
      </c>
      <c r="FY29" s="3" t="e">
        <f t="shared" si="89"/>
        <v>#REF!</v>
      </c>
    </row>
    <row r="30" spans="1:181" ht="13.9" customHeight="1" x14ac:dyDescent="0.45">
      <c r="A30" s="8">
        <f t="shared" si="8"/>
        <v>28</v>
      </c>
      <c r="B30" s="8" t="s">
        <v>45</v>
      </c>
      <c r="C30" s="8"/>
      <c r="D30" s="8"/>
      <c r="E30" s="8"/>
      <c r="F30" s="8"/>
      <c r="G30" s="8"/>
      <c r="H30" s="8">
        <v>6</v>
      </c>
      <c r="I30" s="8"/>
      <c r="J30" s="8"/>
      <c r="K30" s="8">
        <v>5</v>
      </c>
      <c r="L30" s="8">
        <v>5</v>
      </c>
      <c r="M30" s="8"/>
      <c r="N30" s="8"/>
      <c r="O30" s="8">
        <f t="shared" si="9"/>
        <v>6</v>
      </c>
      <c r="P30" s="8">
        <f t="shared" si="10"/>
        <v>10</v>
      </c>
      <c r="Q30" s="8">
        <f t="shared" si="110"/>
        <v>16</v>
      </c>
      <c r="S30" s="8">
        <f t="shared" si="90"/>
        <v>28</v>
      </c>
      <c r="T30" s="8" t="str">
        <f t="shared" si="128"/>
        <v>ناصر</v>
      </c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>
        <f t="shared" si="111"/>
        <v>0</v>
      </c>
      <c r="AH30" s="8">
        <f t="shared" si="112"/>
        <v>0</v>
      </c>
      <c r="AI30" s="8">
        <f t="shared" si="113"/>
        <v>0</v>
      </c>
      <c r="AJ30" s="11">
        <v>17</v>
      </c>
      <c r="AK30" s="8">
        <f t="shared" si="91"/>
        <v>28</v>
      </c>
      <c r="AL30" s="8" t="str">
        <f t="shared" si="129"/>
        <v>ناصر</v>
      </c>
      <c r="AM30" s="8">
        <f t="shared" si="114"/>
        <v>0</v>
      </c>
      <c r="AN30" s="8">
        <f t="shared" si="115"/>
        <v>0</v>
      </c>
      <c r="AO30" s="8">
        <f t="shared" si="116"/>
        <v>0</v>
      </c>
      <c r="AP30" s="8">
        <f t="shared" si="117"/>
        <v>0</v>
      </c>
      <c r="AQ30" s="8">
        <f t="shared" si="118"/>
        <v>0</v>
      </c>
      <c r="AR30" s="8">
        <f t="shared" si="119"/>
        <v>6</v>
      </c>
      <c r="AS30" s="8">
        <f t="shared" si="120"/>
        <v>0</v>
      </c>
      <c r="AT30" s="8">
        <f t="shared" si="121"/>
        <v>0</v>
      </c>
      <c r="AU30" s="8">
        <f t="shared" si="122"/>
        <v>5</v>
      </c>
      <c r="AV30" s="8">
        <f t="shared" si="123"/>
        <v>5</v>
      </c>
      <c r="AW30" s="8">
        <f t="shared" si="124"/>
        <v>0</v>
      </c>
      <c r="AX30" s="8">
        <f t="shared" si="125"/>
        <v>0</v>
      </c>
      <c r="AY30" s="8">
        <f t="shared" si="126"/>
        <v>16</v>
      </c>
      <c r="AZ30" s="3">
        <f t="shared" si="127"/>
        <v>338</v>
      </c>
      <c r="BB30" s="3">
        <v>26</v>
      </c>
      <c r="BC30" s="3" t="s">
        <v>25</v>
      </c>
      <c r="BD30" s="4"/>
      <c r="BO30" s="5"/>
      <c r="BP30" s="4"/>
      <c r="CA30" s="5"/>
      <c r="CB30" s="4"/>
      <c r="CM30" s="5"/>
      <c r="CN30" s="4"/>
      <c r="CY30" s="5"/>
      <c r="CZ30" s="4"/>
      <c r="DK30" s="5"/>
      <c r="DL30" s="3">
        <f t="shared" si="26"/>
        <v>0</v>
      </c>
      <c r="DM30" s="3">
        <v>2</v>
      </c>
      <c r="DN30" s="3">
        <f t="shared" si="27"/>
        <v>2</v>
      </c>
      <c r="DO30" s="10">
        <f t="shared" si="28"/>
        <v>0</v>
      </c>
      <c r="DP30" s="3">
        <f t="shared" si="29"/>
        <v>0</v>
      </c>
      <c r="DQ30" s="3">
        <f t="shared" si="30"/>
        <v>0</v>
      </c>
      <c r="DR30" s="3">
        <f t="shared" si="31"/>
        <v>0</v>
      </c>
      <c r="DS30" s="3">
        <f t="shared" si="32"/>
        <v>0</v>
      </c>
      <c r="DT30" s="3">
        <f t="shared" si="33"/>
        <v>0</v>
      </c>
      <c r="DU30" s="3">
        <f t="shared" si="34"/>
        <v>0</v>
      </c>
      <c r="DV30" s="3">
        <f t="shared" si="35"/>
        <v>0</v>
      </c>
      <c r="DW30" s="3">
        <f t="shared" si="36"/>
        <v>0</v>
      </c>
      <c r="DX30" s="3">
        <f t="shared" si="37"/>
        <v>0</v>
      </c>
      <c r="DY30" s="3">
        <f t="shared" si="38"/>
        <v>0</v>
      </c>
      <c r="DZ30" s="3">
        <f t="shared" si="39"/>
        <v>0</v>
      </c>
      <c r="EA30" s="3">
        <f t="shared" si="40"/>
        <v>0</v>
      </c>
      <c r="EB30" s="3">
        <f t="shared" si="41"/>
        <v>0</v>
      </c>
      <c r="EC30" s="3">
        <f t="shared" si="42"/>
        <v>0</v>
      </c>
      <c r="ED30" s="3">
        <f t="shared" si="43"/>
        <v>0</v>
      </c>
      <c r="EE30" s="3">
        <f t="shared" si="44"/>
        <v>0</v>
      </c>
      <c r="EF30" s="3">
        <f t="shared" si="45"/>
        <v>0</v>
      </c>
      <c r="EG30" s="3">
        <f t="shared" si="46"/>
        <v>0</v>
      </c>
      <c r="EH30" s="3">
        <f t="shared" si="47"/>
        <v>0</v>
      </c>
      <c r="EI30" s="3">
        <f t="shared" si="48"/>
        <v>0</v>
      </c>
      <c r="EJ30" s="3">
        <f t="shared" si="49"/>
        <v>0</v>
      </c>
      <c r="EK30" s="3">
        <f t="shared" si="50"/>
        <v>0</v>
      </c>
      <c r="EL30" s="3">
        <f t="shared" si="51"/>
        <v>0</v>
      </c>
      <c r="EM30" s="3">
        <f t="shared" si="52"/>
        <v>0</v>
      </c>
      <c r="EN30" s="3">
        <f t="shared" si="53"/>
        <v>0</v>
      </c>
      <c r="EO30" s="3">
        <f t="shared" si="54"/>
        <v>0</v>
      </c>
      <c r="EP30" s="3">
        <f t="shared" si="55"/>
        <v>0</v>
      </c>
      <c r="EQ30" s="3">
        <f t="shared" si="56"/>
        <v>0</v>
      </c>
      <c r="ER30" s="3">
        <f t="shared" si="57"/>
        <v>0</v>
      </c>
      <c r="ES30" s="3">
        <f t="shared" si="58"/>
        <v>0</v>
      </c>
      <c r="ET30" s="3">
        <f t="shared" si="59"/>
        <v>0</v>
      </c>
      <c r="EU30" s="3">
        <f t="shared" si="60"/>
        <v>0</v>
      </c>
      <c r="EV30" s="3">
        <f t="shared" si="61"/>
        <v>0</v>
      </c>
      <c r="EW30" s="3">
        <f t="shared" si="62"/>
        <v>0</v>
      </c>
      <c r="EX30" s="3">
        <f t="shared" si="63"/>
        <v>0</v>
      </c>
      <c r="EY30" s="3">
        <f t="shared" si="64"/>
        <v>0</v>
      </c>
      <c r="EZ30" s="3">
        <f t="shared" si="65"/>
        <v>0</v>
      </c>
      <c r="FA30" s="3">
        <f t="shared" si="66"/>
        <v>0</v>
      </c>
      <c r="FB30" s="3">
        <f t="shared" si="67"/>
        <v>0</v>
      </c>
      <c r="FC30" s="3">
        <f t="shared" si="68"/>
        <v>0</v>
      </c>
      <c r="FD30" s="3">
        <f t="shared" si="69"/>
        <v>0</v>
      </c>
      <c r="FE30" s="3">
        <f t="shared" si="70"/>
        <v>0</v>
      </c>
      <c r="FF30" s="3">
        <f t="shared" si="71"/>
        <v>0</v>
      </c>
      <c r="FG30" s="3">
        <f t="shared" si="72"/>
        <v>0</v>
      </c>
      <c r="FH30" s="3">
        <f t="shared" si="73"/>
        <v>0</v>
      </c>
      <c r="FI30" s="3">
        <f t="shared" si="74"/>
        <v>0</v>
      </c>
      <c r="FJ30" s="3">
        <f t="shared" si="75"/>
        <v>0</v>
      </c>
      <c r="FK30" s="3">
        <f t="shared" si="76"/>
        <v>0</v>
      </c>
      <c r="FL30" s="3">
        <f t="shared" si="77"/>
        <v>0</v>
      </c>
      <c r="FM30" s="3">
        <f t="shared" si="78"/>
        <v>0</v>
      </c>
      <c r="FN30" s="3">
        <f t="shared" si="79"/>
        <v>0</v>
      </c>
      <c r="FO30" s="3">
        <f t="shared" si="80"/>
        <v>0</v>
      </c>
      <c r="FP30" s="3">
        <f t="shared" si="81"/>
        <v>0</v>
      </c>
      <c r="FQ30" s="3">
        <f t="shared" si="82"/>
        <v>0</v>
      </c>
      <c r="FR30" s="3">
        <f t="shared" si="83"/>
        <v>0</v>
      </c>
      <c r="FS30" s="3">
        <f t="shared" si="84"/>
        <v>0</v>
      </c>
      <c r="FT30" s="3">
        <f t="shared" si="85"/>
        <v>0</v>
      </c>
      <c r="FU30" s="3">
        <f t="shared" si="86"/>
        <v>0</v>
      </c>
      <c r="FV30" s="3">
        <f t="shared" si="87"/>
        <v>0</v>
      </c>
      <c r="FW30" s="3">
        <f t="shared" si="88"/>
        <v>0</v>
      </c>
      <c r="FX30" s="3" t="e">
        <f>#REF!</f>
        <v>#REF!</v>
      </c>
      <c r="FY30" s="3" t="e">
        <f t="shared" si="89"/>
        <v>#REF!</v>
      </c>
    </row>
    <row r="31" spans="1:181" ht="13.9" customHeight="1" x14ac:dyDescent="0.45">
      <c r="A31" s="8">
        <f t="shared" si="8"/>
        <v>29</v>
      </c>
      <c r="B31" s="8" t="s">
        <v>44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>
        <v>8</v>
      </c>
      <c r="N31" s="8">
        <v>8</v>
      </c>
      <c r="O31" s="8">
        <f t="shared" si="9"/>
        <v>0</v>
      </c>
      <c r="P31" s="8">
        <f t="shared" si="10"/>
        <v>16</v>
      </c>
      <c r="Q31" s="8">
        <f t="shared" si="110"/>
        <v>16</v>
      </c>
      <c r="S31" s="8">
        <f t="shared" si="90"/>
        <v>29</v>
      </c>
      <c r="T31" s="8" t="str">
        <f t="shared" si="128"/>
        <v>خالد الخالدي</v>
      </c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>
        <f t="shared" si="111"/>
        <v>0</v>
      </c>
      <c r="AH31" s="8">
        <f t="shared" si="112"/>
        <v>0</v>
      </c>
      <c r="AI31" s="8">
        <f t="shared" si="113"/>
        <v>0</v>
      </c>
      <c r="AJ31" s="11">
        <v>18</v>
      </c>
      <c r="AK31" s="8">
        <f t="shared" si="91"/>
        <v>29</v>
      </c>
      <c r="AL31" s="8" t="str">
        <f t="shared" si="129"/>
        <v>خالد الخالدي</v>
      </c>
      <c r="AM31" s="8">
        <f t="shared" si="114"/>
        <v>0</v>
      </c>
      <c r="AN31" s="8">
        <f t="shared" si="115"/>
        <v>0</v>
      </c>
      <c r="AO31" s="8">
        <f t="shared" si="116"/>
        <v>0</v>
      </c>
      <c r="AP31" s="8">
        <f t="shared" si="117"/>
        <v>0</v>
      </c>
      <c r="AQ31" s="8">
        <f t="shared" si="118"/>
        <v>0</v>
      </c>
      <c r="AR31" s="8">
        <f t="shared" si="119"/>
        <v>0</v>
      </c>
      <c r="AS31" s="8">
        <f t="shared" si="120"/>
        <v>0</v>
      </c>
      <c r="AT31" s="8">
        <f t="shared" si="121"/>
        <v>0</v>
      </c>
      <c r="AU31" s="8">
        <f t="shared" si="122"/>
        <v>0</v>
      </c>
      <c r="AV31" s="8">
        <f t="shared" si="123"/>
        <v>0</v>
      </c>
      <c r="AW31" s="8">
        <f t="shared" si="124"/>
        <v>8</v>
      </c>
      <c r="AX31" s="8">
        <f t="shared" si="125"/>
        <v>8</v>
      </c>
      <c r="AY31" s="8">
        <f t="shared" si="126"/>
        <v>16</v>
      </c>
      <c r="AZ31" s="3">
        <f t="shared" si="127"/>
        <v>336</v>
      </c>
      <c r="BD31" s="4"/>
      <c r="BP31" s="4"/>
      <c r="CB31" s="4"/>
      <c r="CN31" s="4"/>
      <c r="CZ31" s="4"/>
      <c r="DO31" s="10"/>
    </row>
    <row r="32" spans="1:181" ht="13.9" customHeight="1" x14ac:dyDescent="0.45">
      <c r="A32" s="71" t="s">
        <v>27</v>
      </c>
      <c r="B32" s="71"/>
      <c r="C32" s="8">
        <f t="shared" ref="C32:P32" si="150">SUM(C3:C31)</f>
        <v>35</v>
      </c>
      <c r="D32" s="8">
        <f t="shared" si="150"/>
        <v>0</v>
      </c>
      <c r="E32" s="8">
        <f t="shared" si="150"/>
        <v>35</v>
      </c>
      <c r="F32" s="8">
        <f t="shared" si="150"/>
        <v>35</v>
      </c>
      <c r="G32" s="8">
        <f t="shared" si="150"/>
        <v>35</v>
      </c>
      <c r="H32" s="8">
        <f t="shared" si="150"/>
        <v>35</v>
      </c>
      <c r="I32" s="8">
        <f t="shared" si="150"/>
        <v>32</v>
      </c>
      <c r="J32" s="8">
        <f t="shared" si="150"/>
        <v>32</v>
      </c>
      <c r="K32" s="8">
        <f t="shared" si="150"/>
        <v>32</v>
      </c>
      <c r="L32" s="8">
        <f t="shared" si="150"/>
        <v>32</v>
      </c>
      <c r="M32" s="8">
        <f t="shared" si="150"/>
        <v>32</v>
      </c>
      <c r="N32" s="8">
        <f t="shared" si="150"/>
        <v>32</v>
      </c>
      <c r="O32" s="8">
        <f t="shared" si="150"/>
        <v>175</v>
      </c>
      <c r="P32" s="8">
        <f t="shared" si="150"/>
        <v>192</v>
      </c>
      <c r="Q32" s="8"/>
      <c r="S32" s="71" t="s">
        <v>27</v>
      </c>
      <c r="T32" s="71"/>
      <c r="U32" s="8">
        <f t="shared" ref="U32:AH32" si="151">SUM(U3:U31)</f>
        <v>0</v>
      </c>
      <c r="V32" s="8">
        <f t="shared" si="151"/>
        <v>0</v>
      </c>
      <c r="W32" s="8">
        <f t="shared" si="151"/>
        <v>0</v>
      </c>
      <c r="X32" s="8">
        <f t="shared" si="151"/>
        <v>0</v>
      </c>
      <c r="Y32" s="8">
        <f t="shared" si="151"/>
        <v>0</v>
      </c>
      <c r="Z32" s="8">
        <f t="shared" si="151"/>
        <v>0</v>
      </c>
      <c r="AA32" s="8">
        <f t="shared" si="151"/>
        <v>0</v>
      </c>
      <c r="AB32" s="8">
        <f t="shared" si="151"/>
        <v>0</v>
      </c>
      <c r="AC32" s="8">
        <f t="shared" si="151"/>
        <v>0</v>
      </c>
      <c r="AD32" s="8">
        <f t="shared" si="151"/>
        <v>0</v>
      </c>
      <c r="AE32" s="8">
        <f t="shared" si="151"/>
        <v>0</v>
      </c>
      <c r="AF32" s="8">
        <f t="shared" si="151"/>
        <v>0</v>
      </c>
      <c r="AG32" s="8">
        <f t="shared" si="151"/>
        <v>0</v>
      </c>
      <c r="AH32" s="8">
        <f t="shared" si="151"/>
        <v>0</v>
      </c>
      <c r="AI32" s="8">
        <f t="shared" si="11"/>
        <v>0</v>
      </c>
      <c r="AK32" s="71" t="s">
        <v>27</v>
      </c>
      <c r="AL32" s="71"/>
      <c r="AM32" s="8">
        <f t="shared" ref="AM32:AT32" si="152">C32-U32</f>
        <v>35</v>
      </c>
      <c r="AN32" s="8">
        <f t="shared" si="152"/>
        <v>0</v>
      </c>
      <c r="AO32" s="8">
        <f t="shared" si="152"/>
        <v>35</v>
      </c>
      <c r="AP32" s="8">
        <f t="shared" si="152"/>
        <v>35</v>
      </c>
      <c r="AQ32" s="8">
        <f t="shared" si="152"/>
        <v>35</v>
      </c>
      <c r="AR32" s="8">
        <f t="shared" si="152"/>
        <v>35</v>
      </c>
      <c r="AS32" s="8">
        <f t="shared" si="152"/>
        <v>32</v>
      </c>
      <c r="AT32" s="8">
        <f t="shared" si="152"/>
        <v>32</v>
      </c>
      <c r="AU32" s="8">
        <f t="shared" si="20"/>
        <v>32</v>
      </c>
      <c r="AV32" s="8">
        <f t="shared" si="21"/>
        <v>32</v>
      </c>
      <c r="AW32" s="8">
        <f t="shared" si="22"/>
        <v>32</v>
      </c>
      <c r="AX32" s="8">
        <f t="shared" si="23"/>
        <v>32</v>
      </c>
      <c r="AY32" s="8"/>
      <c r="BD32" s="4">
        <f t="shared" ref="BD32:CI32" si="153">SUM(BD3:BD30)</f>
        <v>1</v>
      </c>
      <c r="BE32" s="4">
        <f t="shared" si="153"/>
        <v>1</v>
      </c>
      <c r="BF32" s="4">
        <f t="shared" si="153"/>
        <v>0</v>
      </c>
      <c r="BG32" s="4">
        <f t="shared" si="153"/>
        <v>0</v>
      </c>
      <c r="BH32" s="4">
        <f t="shared" si="153"/>
        <v>0</v>
      </c>
      <c r="BI32" s="4">
        <f t="shared" si="153"/>
        <v>0</v>
      </c>
      <c r="BJ32" s="4">
        <f t="shared" si="153"/>
        <v>0</v>
      </c>
      <c r="BK32" s="4">
        <f t="shared" si="153"/>
        <v>0</v>
      </c>
      <c r="BL32" s="4">
        <f t="shared" si="153"/>
        <v>0</v>
      </c>
      <c r="BM32" s="4">
        <f t="shared" si="153"/>
        <v>0</v>
      </c>
      <c r="BN32" s="4">
        <f t="shared" si="153"/>
        <v>0</v>
      </c>
      <c r="BO32" s="4">
        <f t="shared" si="153"/>
        <v>0</v>
      </c>
      <c r="BP32" s="4">
        <f t="shared" si="153"/>
        <v>0</v>
      </c>
      <c r="BQ32" s="4">
        <f t="shared" si="153"/>
        <v>0</v>
      </c>
      <c r="BR32" s="4">
        <f t="shared" si="153"/>
        <v>1</v>
      </c>
      <c r="BS32" s="4">
        <f t="shared" si="153"/>
        <v>1</v>
      </c>
      <c r="BT32" s="4">
        <f t="shared" si="153"/>
        <v>0</v>
      </c>
      <c r="BU32" s="4">
        <f t="shared" si="153"/>
        <v>0</v>
      </c>
      <c r="BV32" s="4">
        <f t="shared" si="153"/>
        <v>0</v>
      </c>
      <c r="BW32" s="4">
        <f t="shared" si="153"/>
        <v>0</v>
      </c>
      <c r="BX32" s="4">
        <f t="shared" si="153"/>
        <v>0</v>
      </c>
      <c r="BY32" s="4">
        <f t="shared" si="153"/>
        <v>0</v>
      </c>
      <c r="BZ32" s="4">
        <f t="shared" si="153"/>
        <v>0</v>
      </c>
      <c r="CA32" s="4">
        <f t="shared" si="153"/>
        <v>0</v>
      </c>
      <c r="CB32" s="4">
        <f t="shared" si="153"/>
        <v>1</v>
      </c>
      <c r="CC32" s="4">
        <f t="shared" si="153"/>
        <v>1</v>
      </c>
      <c r="CD32" s="4">
        <f t="shared" si="153"/>
        <v>0</v>
      </c>
      <c r="CE32" s="4">
        <f t="shared" si="153"/>
        <v>1</v>
      </c>
      <c r="CF32" s="4">
        <f t="shared" si="153"/>
        <v>1</v>
      </c>
      <c r="CG32" s="4">
        <f t="shared" si="153"/>
        <v>1</v>
      </c>
      <c r="CH32" s="4">
        <f t="shared" si="153"/>
        <v>0</v>
      </c>
      <c r="CI32" s="4">
        <f t="shared" si="153"/>
        <v>0</v>
      </c>
      <c r="CJ32" s="4">
        <f t="shared" ref="CJ32:DK32" si="154">SUM(CJ3:CJ30)</f>
        <v>0</v>
      </c>
      <c r="CK32" s="4">
        <f t="shared" si="154"/>
        <v>0</v>
      </c>
      <c r="CL32" s="4">
        <f t="shared" si="154"/>
        <v>0</v>
      </c>
      <c r="CM32" s="4">
        <f t="shared" si="154"/>
        <v>0</v>
      </c>
      <c r="CN32" s="4">
        <f t="shared" si="154"/>
        <v>1</v>
      </c>
      <c r="CO32" s="4">
        <f t="shared" si="154"/>
        <v>1</v>
      </c>
      <c r="CP32" s="4">
        <f t="shared" si="154"/>
        <v>1</v>
      </c>
      <c r="CQ32" s="4">
        <f t="shared" si="154"/>
        <v>0</v>
      </c>
      <c r="CR32" s="4">
        <f t="shared" si="154"/>
        <v>1</v>
      </c>
      <c r="CS32" s="4">
        <f t="shared" si="154"/>
        <v>1</v>
      </c>
      <c r="CT32" s="4">
        <f t="shared" si="154"/>
        <v>0</v>
      </c>
      <c r="CU32" s="4">
        <f t="shared" si="154"/>
        <v>0</v>
      </c>
      <c r="CV32" s="4">
        <f t="shared" si="154"/>
        <v>0</v>
      </c>
      <c r="CW32" s="4">
        <f t="shared" si="154"/>
        <v>0</v>
      </c>
      <c r="CX32" s="4">
        <f t="shared" si="154"/>
        <v>0</v>
      </c>
      <c r="CY32" s="4">
        <f t="shared" si="154"/>
        <v>0</v>
      </c>
      <c r="CZ32" s="4">
        <f t="shared" si="154"/>
        <v>0</v>
      </c>
      <c r="DA32" s="4">
        <f t="shared" si="154"/>
        <v>1</v>
      </c>
      <c r="DB32" s="4">
        <f t="shared" si="154"/>
        <v>1</v>
      </c>
      <c r="DC32" s="4">
        <f t="shared" si="154"/>
        <v>1</v>
      </c>
      <c r="DD32" s="4">
        <f t="shared" si="154"/>
        <v>1</v>
      </c>
      <c r="DE32" s="4">
        <f t="shared" si="154"/>
        <v>1</v>
      </c>
      <c r="DF32" s="4">
        <f t="shared" si="154"/>
        <v>0</v>
      </c>
      <c r="DG32" s="4">
        <f t="shared" si="154"/>
        <v>0</v>
      </c>
      <c r="DH32" s="4">
        <f t="shared" si="154"/>
        <v>0</v>
      </c>
      <c r="DI32" s="4">
        <f t="shared" si="154"/>
        <v>0</v>
      </c>
      <c r="DJ32" s="4">
        <f t="shared" si="154"/>
        <v>0</v>
      </c>
      <c r="DK32" s="4">
        <f t="shared" si="154"/>
        <v>0</v>
      </c>
      <c r="DL32" s="3">
        <f>SUM(BD32:DK32)</f>
        <v>19</v>
      </c>
    </row>
    <row r="33" spans="17:115" ht="13.9" customHeight="1" x14ac:dyDescent="0.45">
      <c r="Q33" s="3">
        <f>SUM(Q3:Q32)</f>
        <v>367</v>
      </c>
      <c r="AY33" s="3">
        <f>SUM(AY3:AY32)</f>
        <v>367</v>
      </c>
      <c r="BD33" s="4">
        <f>6-BD32</f>
        <v>5</v>
      </c>
      <c r="BE33" s="4">
        <f t="shared" ref="BE33:DK33" si="155">6-BE32</f>
        <v>5</v>
      </c>
      <c r="BF33" s="4">
        <f t="shared" si="155"/>
        <v>6</v>
      </c>
      <c r="BG33" s="4">
        <f t="shared" si="155"/>
        <v>6</v>
      </c>
      <c r="BH33" s="4">
        <f t="shared" si="155"/>
        <v>6</v>
      </c>
      <c r="BI33" s="4">
        <f t="shared" si="155"/>
        <v>6</v>
      </c>
      <c r="BJ33" s="4">
        <f t="shared" si="155"/>
        <v>6</v>
      </c>
      <c r="BK33" s="4">
        <f t="shared" si="155"/>
        <v>6</v>
      </c>
      <c r="BL33" s="4">
        <f t="shared" si="155"/>
        <v>6</v>
      </c>
      <c r="BM33" s="4">
        <f t="shared" si="155"/>
        <v>6</v>
      </c>
      <c r="BN33" s="4">
        <f t="shared" si="155"/>
        <v>6</v>
      </c>
      <c r="BO33" s="4">
        <f t="shared" si="155"/>
        <v>6</v>
      </c>
      <c r="BP33" s="4">
        <f t="shared" si="155"/>
        <v>6</v>
      </c>
      <c r="BQ33" s="4">
        <f t="shared" si="155"/>
        <v>6</v>
      </c>
      <c r="BR33" s="4">
        <f t="shared" si="155"/>
        <v>5</v>
      </c>
      <c r="BS33" s="4">
        <f t="shared" si="155"/>
        <v>5</v>
      </c>
      <c r="BT33" s="4">
        <f t="shared" si="155"/>
        <v>6</v>
      </c>
      <c r="BU33" s="4">
        <f t="shared" si="155"/>
        <v>6</v>
      </c>
      <c r="BV33" s="4">
        <f t="shared" si="155"/>
        <v>6</v>
      </c>
      <c r="BW33" s="4">
        <f t="shared" si="155"/>
        <v>6</v>
      </c>
      <c r="BX33" s="4">
        <f t="shared" si="155"/>
        <v>6</v>
      </c>
      <c r="BY33" s="4">
        <f t="shared" si="155"/>
        <v>6</v>
      </c>
      <c r="BZ33" s="4">
        <f t="shared" si="155"/>
        <v>6</v>
      </c>
      <c r="CA33" s="4">
        <f t="shared" si="155"/>
        <v>6</v>
      </c>
      <c r="CB33" s="4">
        <f t="shared" si="155"/>
        <v>5</v>
      </c>
      <c r="CC33" s="4">
        <f t="shared" si="155"/>
        <v>5</v>
      </c>
      <c r="CD33" s="4">
        <f t="shared" si="155"/>
        <v>6</v>
      </c>
      <c r="CE33" s="4">
        <f t="shared" si="155"/>
        <v>5</v>
      </c>
      <c r="CF33" s="4">
        <f t="shared" si="155"/>
        <v>5</v>
      </c>
      <c r="CG33" s="4">
        <f t="shared" si="155"/>
        <v>5</v>
      </c>
      <c r="CH33" s="4">
        <f t="shared" si="155"/>
        <v>6</v>
      </c>
      <c r="CI33" s="4">
        <f t="shared" si="155"/>
        <v>6</v>
      </c>
      <c r="CJ33" s="4">
        <f t="shared" si="155"/>
        <v>6</v>
      </c>
      <c r="CK33" s="4">
        <f t="shared" si="155"/>
        <v>6</v>
      </c>
      <c r="CL33" s="4">
        <f t="shared" si="155"/>
        <v>6</v>
      </c>
      <c r="CM33" s="4">
        <f t="shared" si="155"/>
        <v>6</v>
      </c>
      <c r="CN33" s="4">
        <f t="shared" si="155"/>
        <v>5</v>
      </c>
      <c r="CO33" s="4">
        <f t="shared" si="155"/>
        <v>5</v>
      </c>
      <c r="CP33" s="4">
        <f t="shared" si="155"/>
        <v>5</v>
      </c>
      <c r="CQ33" s="4">
        <f t="shared" si="155"/>
        <v>6</v>
      </c>
      <c r="CR33" s="4">
        <f t="shared" si="155"/>
        <v>5</v>
      </c>
      <c r="CS33" s="4">
        <f t="shared" si="155"/>
        <v>5</v>
      </c>
      <c r="CT33" s="4">
        <f t="shared" si="155"/>
        <v>6</v>
      </c>
      <c r="CU33" s="4">
        <f t="shared" si="155"/>
        <v>6</v>
      </c>
      <c r="CV33" s="4">
        <f t="shared" si="155"/>
        <v>6</v>
      </c>
      <c r="CW33" s="4">
        <f t="shared" si="155"/>
        <v>6</v>
      </c>
      <c r="CX33" s="4">
        <f t="shared" si="155"/>
        <v>6</v>
      </c>
      <c r="CY33" s="4">
        <f t="shared" si="155"/>
        <v>6</v>
      </c>
      <c r="CZ33" s="4">
        <f t="shared" si="155"/>
        <v>6</v>
      </c>
      <c r="DA33" s="4">
        <f t="shared" si="155"/>
        <v>5</v>
      </c>
      <c r="DB33" s="4">
        <f t="shared" si="155"/>
        <v>5</v>
      </c>
      <c r="DC33" s="4">
        <f t="shared" si="155"/>
        <v>5</v>
      </c>
      <c r="DD33" s="4">
        <f t="shared" si="155"/>
        <v>5</v>
      </c>
      <c r="DE33" s="4">
        <f t="shared" si="155"/>
        <v>5</v>
      </c>
      <c r="DF33" s="4">
        <f t="shared" si="155"/>
        <v>6</v>
      </c>
      <c r="DG33" s="4">
        <f t="shared" si="155"/>
        <v>6</v>
      </c>
      <c r="DH33" s="4">
        <f t="shared" si="155"/>
        <v>6</v>
      </c>
      <c r="DI33" s="4">
        <f t="shared" si="155"/>
        <v>6</v>
      </c>
      <c r="DJ33" s="4">
        <f t="shared" si="155"/>
        <v>6</v>
      </c>
      <c r="DK33" s="4">
        <f t="shared" si="155"/>
        <v>6</v>
      </c>
    </row>
    <row r="34" spans="17:115" ht="13.9" customHeight="1" thickBot="1" x14ac:dyDescent="0.5">
      <c r="BD34" s="9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7"/>
      <c r="BP34" s="9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7"/>
      <c r="CB34" s="9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7"/>
      <c r="CN34" s="9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7"/>
      <c r="CZ34" s="9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7"/>
    </row>
  </sheetData>
  <mergeCells count="11">
    <mergeCell ref="A32:B32"/>
    <mergeCell ref="A1:Q1"/>
    <mergeCell ref="S1:AI1"/>
    <mergeCell ref="S32:T32"/>
    <mergeCell ref="AK1:AY1"/>
    <mergeCell ref="AK32:AL32"/>
    <mergeCell ref="BD1:BO1"/>
    <mergeCell ref="BP1:CA1"/>
    <mergeCell ref="CB1:CM1"/>
    <mergeCell ref="CN1:CY1"/>
    <mergeCell ref="CZ1:DK1"/>
  </mergeCells>
  <conditionalFormatting sqref="U2:AH2">
    <cfRule type="expression" dxfId="61" priority="5">
      <formula>U$32=U$33</formula>
    </cfRule>
  </conditionalFormatting>
  <conditionalFormatting sqref="AM3:AX31">
    <cfRule type="cellIs" dxfId="60" priority="1" operator="lessThan">
      <formula>0</formula>
    </cfRule>
  </conditionalFormatting>
  <conditionalFormatting sqref="AY3:AY31">
    <cfRule type="cellIs" dxfId="59" priority="2" operator="equal">
      <formula>$AY$2</formula>
    </cfRule>
  </conditionalFormatting>
  <conditionalFormatting sqref="BD33:DK33">
    <cfRule type="cellIs" dxfId="58" priority="7" operator="equal">
      <formula>0</formula>
    </cfRule>
  </conditionalFormatting>
  <conditionalFormatting sqref="DN3:DN31 FY3:FY31">
    <cfRule type="cellIs" dxfId="57" priority="8" operator="equal">
      <formula>0</formula>
    </cfRule>
  </conditionalFormatting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4"/>
  <sheetViews>
    <sheetView rightToLeft="1" workbookViewId="0">
      <selection activeCell="B7" sqref="B7"/>
    </sheetView>
  </sheetViews>
  <sheetFormatPr defaultRowHeight="14.25" x14ac:dyDescent="0.45"/>
  <sheetData>
    <row r="2" spans="1:6" x14ac:dyDescent="0.45">
      <c r="A2">
        <v>11</v>
      </c>
      <c r="B2" s="13" t="str">
        <f>CONCATENATE(D2," ",E2," ",F2)</f>
        <v xml:space="preserve">1 م </v>
      </c>
      <c r="D2">
        <v>1</v>
      </c>
      <c r="E2" t="s">
        <v>0</v>
      </c>
    </row>
    <row r="3" spans="1:6" x14ac:dyDescent="0.45">
      <c r="A3">
        <v>21</v>
      </c>
      <c r="B3" s="13" t="str">
        <f t="shared" ref="B3:B13" si="0">CONCATENATE(D3," ",E3," ",F3)</f>
        <v>1 م ب</v>
      </c>
      <c r="D3">
        <v>1</v>
      </c>
      <c r="E3" t="s">
        <v>0</v>
      </c>
      <c r="F3" t="s">
        <v>34</v>
      </c>
    </row>
    <row r="4" spans="1:6" x14ac:dyDescent="0.45">
      <c r="A4">
        <v>12</v>
      </c>
      <c r="B4" s="13" t="str">
        <f t="shared" si="0"/>
        <v>2 م أ</v>
      </c>
      <c r="D4">
        <v>2</v>
      </c>
      <c r="E4" t="s">
        <v>0</v>
      </c>
      <c r="F4" t="s">
        <v>33</v>
      </c>
    </row>
    <row r="5" spans="1:6" x14ac:dyDescent="0.45">
      <c r="A5">
        <v>22</v>
      </c>
      <c r="B5" s="13" t="str">
        <f t="shared" si="0"/>
        <v>2 م ب</v>
      </c>
      <c r="D5">
        <v>2</v>
      </c>
      <c r="E5" t="s">
        <v>0</v>
      </c>
      <c r="F5" t="s">
        <v>34</v>
      </c>
    </row>
    <row r="6" spans="1:6" x14ac:dyDescent="0.45">
      <c r="A6">
        <v>13</v>
      </c>
      <c r="B6" s="13" t="str">
        <f>CONCATENATE(D6," ",E6," ",F6)</f>
        <v>3 م أ</v>
      </c>
      <c r="D6">
        <v>3</v>
      </c>
      <c r="E6" t="s">
        <v>0</v>
      </c>
      <c r="F6" t="s">
        <v>33</v>
      </c>
    </row>
    <row r="7" spans="1:6" x14ac:dyDescent="0.45">
      <c r="A7">
        <v>23</v>
      </c>
      <c r="B7" s="13" t="str">
        <f t="shared" si="0"/>
        <v>3 م ب</v>
      </c>
      <c r="D7">
        <v>3</v>
      </c>
      <c r="E7" t="s">
        <v>0</v>
      </c>
      <c r="F7" t="s">
        <v>34</v>
      </c>
    </row>
    <row r="8" spans="1:6" x14ac:dyDescent="0.45">
      <c r="A8">
        <v>14</v>
      </c>
      <c r="B8" s="13" t="str">
        <f t="shared" si="0"/>
        <v>1 ث أ</v>
      </c>
      <c r="D8">
        <v>1</v>
      </c>
      <c r="E8" t="s">
        <v>32</v>
      </c>
      <c r="F8" t="s">
        <v>33</v>
      </c>
    </row>
    <row r="9" spans="1:6" x14ac:dyDescent="0.45">
      <c r="A9">
        <v>24</v>
      </c>
      <c r="B9" s="13" t="str">
        <f t="shared" si="0"/>
        <v>1 ث ب</v>
      </c>
      <c r="D9">
        <v>1</v>
      </c>
      <c r="E9" t="s">
        <v>32</v>
      </c>
      <c r="F9" t="s">
        <v>34</v>
      </c>
    </row>
    <row r="10" spans="1:6" x14ac:dyDescent="0.45">
      <c r="A10">
        <v>15</v>
      </c>
      <c r="B10" s="13" t="str">
        <f t="shared" si="0"/>
        <v>2 ث أ</v>
      </c>
      <c r="D10">
        <v>2</v>
      </c>
      <c r="E10" t="s">
        <v>32</v>
      </c>
      <c r="F10" t="s">
        <v>33</v>
      </c>
    </row>
    <row r="11" spans="1:6" x14ac:dyDescent="0.45">
      <c r="A11">
        <v>25</v>
      </c>
      <c r="B11" s="13" t="str">
        <f t="shared" si="0"/>
        <v>2 ث ب</v>
      </c>
      <c r="D11">
        <v>2</v>
      </c>
      <c r="E11" t="s">
        <v>32</v>
      </c>
      <c r="F11" t="s">
        <v>34</v>
      </c>
    </row>
    <row r="12" spans="1:6" x14ac:dyDescent="0.45">
      <c r="A12">
        <v>16</v>
      </c>
      <c r="B12" s="13" t="str">
        <f t="shared" si="0"/>
        <v>3 ث أ</v>
      </c>
      <c r="D12">
        <v>3</v>
      </c>
      <c r="E12" t="s">
        <v>32</v>
      </c>
      <c r="F12" t="s">
        <v>33</v>
      </c>
    </row>
    <row r="13" spans="1:6" x14ac:dyDescent="0.45">
      <c r="A13">
        <v>26</v>
      </c>
      <c r="B13" s="13" t="str">
        <f t="shared" si="0"/>
        <v>3 ث ب</v>
      </c>
      <c r="D13">
        <v>3</v>
      </c>
      <c r="E13" t="s">
        <v>32</v>
      </c>
      <c r="F13" t="s">
        <v>34</v>
      </c>
    </row>
    <row r="14" spans="1:6" x14ac:dyDescent="0.45">
      <c r="B14" s="13"/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D49"/>
  <sheetViews>
    <sheetView rightToLeft="1" zoomScale="70" zoomScaleNormal="70" workbookViewId="0">
      <selection activeCell="J27" sqref="J27"/>
    </sheetView>
  </sheetViews>
  <sheetFormatPr defaultRowHeight="14.25" x14ac:dyDescent="0.45"/>
  <cols>
    <col min="1" max="1" width="9.59765625" bestFit="1" customWidth="1"/>
    <col min="2" max="2" width="2.73046875" customWidth="1"/>
    <col min="3" max="8" width="4" bestFit="1" customWidth="1"/>
    <col min="9" max="9" width="4" customWidth="1"/>
    <col min="10" max="15" width="4" bestFit="1" customWidth="1"/>
    <col min="16" max="16" width="4" customWidth="1"/>
    <col min="17" max="22" width="4" bestFit="1" customWidth="1"/>
    <col min="23" max="23" width="3.86328125" bestFit="1" customWidth="1"/>
    <col min="24" max="29" width="4" bestFit="1" customWidth="1"/>
    <col min="30" max="30" width="4" customWidth="1"/>
    <col min="31" max="32" width="4" bestFit="1" customWidth="1"/>
    <col min="33" max="33" width="4.86328125" bestFit="1" customWidth="1"/>
    <col min="34" max="35" width="4" bestFit="1" customWidth="1"/>
    <col min="36" max="36" width="4" customWidth="1"/>
    <col min="37" max="38" width="4" bestFit="1" customWidth="1"/>
    <col min="39" max="40" width="2.59765625" customWidth="1"/>
    <col min="41" max="41" width="9.3984375" customWidth="1"/>
    <col min="42" max="65" width="2.59765625" hidden="1" customWidth="1"/>
    <col min="66" max="73" width="2.86328125" customWidth="1"/>
    <col min="74" max="77" width="2.86328125" bestFit="1" customWidth="1"/>
    <col min="78" max="78" width="2.59765625" customWidth="1"/>
  </cols>
  <sheetData>
    <row r="1" spans="1:82" ht="14.65" thickBot="1" x14ac:dyDescent="0.5"/>
    <row r="2" spans="1:82" ht="15" thickTop="1" thickBot="1" x14ac:dyDescent="0.5">
      <c r="C2" s="72">
        <v>1</v>
      </c>
      <c r="D2" s="73"/>
      <c r="E2" s="73"/>
      <c r="F2" s="73"/>
      <c r="G2" s="73"/>
      <c r="H2" s="74"/>
      <c r="I2" s="12"/>
      <c r="J2" s="75">
        <v>2</v>
      </c>
      <c r="K2" s="75"/>
      <c r="L2" s="75"/>
      <c r="M2" s="75"/>
      <c r="N2" s="75"/>
      <c r="O2" s="75"/>
      <c r="P2" s="12"/>
      <c r="Q2" s="76">
        <v>3</v>
      </c>
      <c r="R2" s="77"/>
      <c r="S2" s="77"/>
      <c r="T2" s="77"/>
      <c r="U2" s="77"/>
      <c r="V2" s="78"/>
      <c r="W2" s="39"/>
      <c r="X2" s="75">
        <v>4</v>
      </c>
      <c r="Y2" s="75"/>
      <c r="Z2" s="75"/>
      <c r="AA2" s="75"/>
      <c r="AB2" s="75"/>
      <c r="AC2" s="75"/>
      <c r="AD2" s="39"/>
      <c r="AE2" s="76">
        <v>5</v>
      </c>
      <c r="AF2" s="77"/>
      <c r="AG2" s="77"/>
      <c r="AH2" s="77"/>
      <c r="AI2" s="77"/>
      <c r="AJ2" s="77"/>
      <c r="AK2" s="78"/>
    </row>
    <row r="3" spans="1:82" ht="14.65" thickTop="1" x14ac:dyDescent="0.45">
      <c r="C3" s="15">
        <v>1</v>
      </c>
      <c r="D3" s="2">
        <v>2</v>
      </c>
      <c r="E3" s="2">
        <v>3</v>
      </c>
      <c r="F3" s="2">
        <v>4</v>
      </c>
      <c r="G3" s="2">
        <v>5</v>
      </c>
      <c r="H3" s="16">
        <v>6</v>
      </c>
      <c r="I3" s="37"/>
      <c r="J3" s="17">
        <v>1</v>
      </c>
      <c r="K3" s="2">
        <v>2</v>
      </c>
      <c r="L3" s="2">
        <v>3</v>
      </c>
      <c r="M3" s="2">
        <v>4</v>
      </c>
      <c r="N3" s="2">
        <v>5</v>
      </c>
      <c r="O3" s="1">
        <v>6</v>
      </c>
      <c r="P3" s="37"/>
      <c r="Q3" s="15">
        <v>1</v>
      </c>
      <c r="R3" s="2">
        <v>2</v>
      </c>
      <c r="S3" s="2">
        <v>3</v>
      </c>
      <c r="T3" s="2">
        <v>4</v>
      </c>
      <c r="U3" s="2">
        <v>5</v>
      </c>
      <c r="V3" s="16">
        <v>6</v>
      </c>
      <c r="W3" s="37"/>
      <c r="X3" s="17">
        <v>1</v>
      </c>
      <c r="Y3" s="2">
        <v>2</v>
      </c>
      <c r="Z3" s="2">
        <v>3</v>
      </c>
      <c r="AA3" s="2">
        <v>4</v>
      </c>
      <c r="AB3" s="2">
        <v>5</v>
      </c>
      <c r="AC3" s="1">
        <v>6</v>
      </c>
      <c r="AD3" s="37"/>
      <c r="AE3" s="15">
        <v>1</v>
      </c>
      <c r="AF3" s="2">
        <v>2</v>
      </c>
      <c r="AG3" s="2">
        <v>3</v>
      </c>
      <c r="AH3" s="2">
        <v>4</v>
      </c>
      <c r="AI3" s="2">
        <v>5</v>
      </c>
      <c r="AJ3" s="1">
        <v>6</v>
      </c>
      <c r="AK3" s="16">
        <v>7</v>
      </c>
      <c r="AP3" s="15">
        <v>11</v>
      </c>
      <c r="AQ3">
        <f>IF('النصاب الكامل'!AN2=0,"",'النصاب الكامل'!AN2)</f>
        <v>21</v>
      </c>
      <c r="AR3">
        <f>IF('النصاب الكامل'!AO2=0,"",'النصاب الكامل'!AO2)</f>
        <v>12</v>
      </c>
      <c r="AS3">
        <f>IF('النصاب الكامل'!AP2=0,"",'النصاب الكامل'!AP2)</f>
        <v>22</v>
      </c>
      <c r="AT3">
        <f>IF('النصاب الكامل'!AQ2=0,"",'النصاب الكامل'!AQ2)</f>
        <v>13</v>
      </c>
      <c r="AU3">
        <f>IF('النصاب الكامل'!AR2=0,"",'النصاب الكامل'!AR2)</f>
        <v>23</v>
      </c>
      <c r="AV3">
        <f>IF('النصاب الكامل'!AS2=0,"",'النصاب الكامل'!AS2)</f>
        <v>14</v>
      </c>
      <c r="AW3">
        <f>IF('النصاب الكامل'!AT2=0,"",'النصاب الكامل'!AT2)</f>
        <v>24</v>
      </c>
      <c r="AX3">
        <f>IF('النصاب الكامل'!AU2=0,"",'النصاب الكامل'!AU2)</f>
        <v>15</v>
      </c>
      <c r="AY3">
        <f>IF('النصاب الكامل'!AV2=0,"",'النصاب الكامل'!AV2)</f>
        <v>25</v>
      </c>
      <c r="AZ3">
        <f>IF('النصاب الكامل'!AW2=0,"",'النصاب الكامل'!AW2)</f>
        <v>16</v>
      </c>
      <c r="BA3">
        <f>IF('النصاب الكامل'!AX2=0,"",'النصاب الكامل'!AX2)</f>
        <v>26</v>
      </c>
      <c r="BB3">
        <f>AP3</f>
        <v>11</v>
      </c>
      <c r="BC3">
        <f t="shared" ref="BC3:BY3" si="0">AQ3</f>
        <v>21</v>
      </c>
      <c r="BD3">
        <f t="shared" si="0"/>
        <v>12</v>
      </c>
      <c r="BE3">
        <f t="shared" si="0"/>
        <v>22</v>
      </c>
      <c r="BF3">
        <f t="shared" si="0"/>
        <v>13</v>
      </c>
      <c r="BG3">
        <f t="shared" si="0"/>
        <v>23</v>
      </c>
      <c r="BH3">
        <f t="shared" si="0"/>
        <v>14</v>
      </c>
      <c r="BI3">
        <f t="shared" si="0"/>
        <v>24</v>
      </c>
      <c r="BJ3">
        <f t="shared" si="0"/>
        <v>15</v>
      </c>
      <c r="BK3">
        <f t="shared" si="0"/>
        <v>25</v>
      </c>
      <c r="BL3">
        <f t="shared" si="0"/>
        <v>16</v>
      </c>
      <c r="BM3">
        <f t="shared" si="0"/>
        <v>26</v>
      </c>
      <c r="BN3" s="22">
        <f t="shared" si="0"/>
        <v>11</v>
      </c>
      <c r="BO3" s="18">
        <f t="shared" si="0"/>
        <v>21</v>
      </c>
      <c r="BP3" s="23">
        <f t="shared" si="0"/>
        <v>12</v>
      </c>
      <c r="BQ3" s="18">
        <f t="shared" si="0"/>
        <v>22</v>
      </c>
      <c r="BR3" s="23">
        <f t="shared" si="0"/>
        <v>13</v>
      </c>
      <c r="BS3" s="18">
        <f t="shared" si="0"/>
        <v>23</v>
      </c>
      <c r="BT3" s="23">
        <f t="shared" si="0"/>
        <v>14</v>
      </c>
      <c r="BU3" s="18">
        <f t="shared" si="0"/>
        <v>24</v>
      </c>
      <c r="BV3" s="23">
        <f t="shared" si="0"/>
        <v>15</v>
      </c>
      <c r="BW3" s="18">
        <f t="shared" si="0"/>
        <v>25</v>
      </c>
      <c r="BX3" s="23">
        <f t="shared" si="0"/>
        <v>16</v>
      </c>
      <c r="BY3" s="20">
        <f t="shared" si="0"/>
        <v>26</v>
      </c>
    </row>
    <row r="4" spans="1:82" x14ac:dyDescent="0.45">
      <c r="A4" t="str">
        <f>'النصاب الكامل'!AL3</f>
        <v>علي حسين</v>
      </c>
      <c r="B4">
        <f>'النصاب الكامل'!AY3</f>
        <v>12</v>
      </c>
      <c r="C4" s="15"/>
      <c r="D4" s="15"/>
      <c r="E4" s="15"/>
      <c r="F4" s="15"/>
      <c r="G4" s="15">
        <v>13</v>
      </c>
      <c r="H4" s="15">
        <v>23</v>
      </c>
      <c r="I4" s="15">
        <v>23</v>
      </c>
      <c r="J4" s="15"/>
      <c r="K4" s="15"/>
      <c r="L4" s="15"/>
      <c r="M4" s="15">
        <v>23</v>
      </c>
      <c r="N4" s="15"/>
      <c r="O4" s="15"/>
      <c r="P4" s="15">
        <v>13</v>
      </c>
      <c r="Q4" s="15"/>
      <c r="R4" s="15"/>
      <c r="S4" s="15"/>
      <c r="T4" s="15">
        <v>13</v>
      </c>
      <c r="U4" s="15"/>
      <c r="V4" s="15">
        <v>23</v>
      </c>
      <c r="W4" s="15"/>
      <c r="X4" s="15">
        <v>13</v>
      </c>
      <c r="Y4" s="15">
        <v>13</v>
      </c>
      <c r="Z4" s="15"/>
      <c r="AA4" s="15"/>
      <c r="AB4" s="15">
        <v>23</v>
      </c>
      <c r="AC4" s="15">
        <v>23</v>
      </c>
      <c r="AD4" s="15"/>
      <c r="AE4" s="15">
        <v>13</v>
      </c>
      <c r="AF4" s="15"/>
      <c r="AG4" s="15"/>
      <c r="AH4" s="15"/>
      <c r="AI4" s="15"/>
      <c r="AJ4" s="15"/>
      <c r="AK4" s="15"/>
      <c r="AL4">
        <f>SUM(C4:AK4)</f>
        <v>216</v>
      </c>
      <c r="AM4">
        <f>'النصاب الكامل'!AZ3</f>
        <v>216</v>
      </c>
      <c r="AN4">
        <f>AM4-AL4</f>
        <v>0</v>
      </c>
      <c r="AO4" t="str">
        <f>A4</f>
        <v>علي حسين</v>
      </c>
      <c r="AP4" s="2">
        <f>'النصاب الكامل'!AM3</f>
        <v>0</v>
      </c>
      <c r="AQ4" s="2">
        <f>'النصاب الكامل'!AN3</f>
        <v>0</v>
      </c>
      <c r="AR4" s="2">
        <f>'النصاب الكامل'!AO3</f>
        <v>0</v>
      </c>
      <c r="AS4" s="2">
        <f>'النصاب الكامل'!AP3</f>
        <v>0</v>
      </c>
      <c r="AT4" s="2">
        <f>'النصاب الكامل'!AQ3</f>
        <v>6</v>
      </c>
      <c r="AU4" s="2">
        <f>'النصاب الكامل'!AR3</f>
        <v>6</v>
      </c>
      <c r="AV4" s="2">
        <f>'النصاب الكامل'!AS3</f>
        <v>0</v>
      </c>
      <c r="AW4" s="2">
        <f>'النصاب الكامل'!AT3</f>
        <v>0</v>
      </c>
      <c r="AX4" s="2">
        <f>'النصاب الكامل'!AU3</f>
        <v>0</v>
      </c>
      <c r="AY4" s="2">
        <f>'النصاب الكامل'!AV3</f>
        <v>0</v>
      </c>
      <c r="AZ4" s="2">
        <f>'النصاب الكامل'!AW3</f>
        <v>0</v>
      </c>
      <c r="BA4" s="2">
        <f>'النصاب الكامل'!AX3</f>
        <v>0</v>
      </c>
      <c r="BB4">
        <f t="shared" ref="BB4:BM13" si="1">COUNTIF($C4:$AK4,BB$3)</f>
        <v>0</v>
      </c>
      <c r="BC4">
        <f t="shared" si="1"/>
        <v>0</v>
      </c>
      <c r="BD4">
        <f t="shared" si="1"/>
        <v>0</v>
      </c>
      <c r="BE4">
        <f t="shared" si="1"/>
        <v>0</v>
      </c>
      <c r="BF4">
        <f t="shared" si="1"/>
        <v>6</v>
      </c>
      <c r="BG4">
        <f t="shared" si="1"/>
        <v>6</v>
      </c>
      <c r="BH4">
        <f t="shared" si="1"/>
        <v>0</v>
      </c>
      <c r="BI4">
        <f t="shared" si="1"/>
        <v>0</v>
      </c>
      <c r="BJ4">
        <f t="shared" si="1"/>
        <v>0</v>
      </c>
      <c r="BK4">
        <f t="shared" si="1"/>
        <v>0</v>
      </c>
      <c r="BL4">
        <f t="shared" si="1"/>
        <v>0</v>
      </c>
      <c r="BM4">
        <f t="shared" si="1"/>
        <v>0</v>
      </c>
      <c r="BN4" s="15" t="str">
        <f>IF(AP4-BB4=0,"",AP4-BB4)</f>
        <v/>
      </c>
      <c r="BO4" s="15" t="str">
        <f t="shared" ref="BO4:BY4" si="2">IF(AQ4-BC4=0,"",AQ4-BC4)</f>
        <v/>
      </c>
      <c r="BP4" s="15" t="str">
        <f t="shared" si="2"/>
        <v/>
      </c>
      <c r="BQ4" s="15" t="str">
        <f t="shared" si="2"/>
        <v/>
      </c>
      <c r="BR4" s="15" t="str">
        <f t="shared" si="2"/>
        <v/>
      </c>
      <c r="BS4" s="15" t="str">
        <f t="shared" si="2"/>
        <v/>
      </c>
      <c r="BT4" s="15" t="str">
        <f t="shared" si="2"/>
        <v/>
      </c>
      <c r="BU4" s="15" t="str">
        <f t="shared" si="2"/>
        <v/>
      </c>
      <c r="BV4" s="15" t="str">
        <f t="shared" si="2"/>
        <v/>
      </c>
      <c r="BW4" s="15" t="str">
        <f t="shared" si="2"/>
        <v/>
      </c>
      <c r="BX4" s="15" t="str">
        <f t="shared" si="2"/>
        <v/>
      </c>
      <c r="BY4" s="16" t="str">
        <f t="shared" si="2"/>
        <v/>
      </c>
      <c r="BZ4">
        <f>SUM(BN4:BY4)</f>
        <v>0</v>
      </c>
      <c r="CB4">
        <v>1</v>
      </c>
      <c r="CC4">
        <f>IF(BR8="",0,BR8)</f>
        <v>0</v>
      </c>
    </row>
    <row r="5" spans="1:82" x14ac:dyDescent="0.45">
      <c r="A5" t="str">
        <f>'النصاب الكامل'!AL4</f>
        <v>خالد جابر</v>
      </c>
      <c r="B5">
        <f>'النصاب الكامل'!AY4</f>
        <v>11</v>
      </c>
      <c r="C5" s="15">
        <v>22</v>
      </c>
      <c r="D5" s="2"/>
      <c r="E5" s="2"/>
      <c r="F5" s="2"/>
      <c r="G5" s="2"/>
      <c r="H5" s="16"/>
      <c r="I5" s="40"/>
      <c r="J5" s="17">
        <v>11</v>
      </c>
      <c r="K5" s="2"/>
      <c r="L5" s="2"/>
      <c r="M5" s="2"/>
      <c r="N5" s="2">
        <v>12</v>
      </c>
      <c r="O5" s="1"/>
      <c r="P5" s="40">
        <v>11</v>
      </c>
      <c r="Q5" s="15"/>
      <c r="R5" s="2"/>
      <c r="S5" s="2"/>
      <c r="T5" s="2">
        <v>11</v>
      </c>
      <c r="U5" s="2"/>
      <c r="V5" s="16"/>
      <c r="W5" s="40">
        <v>11</v>
      </c>
      <c r="X5" s="17"/>
      <c r="Y5" s="2">
        <v>11</v>
      </c>
      <c r="Z5" s="2"/>
      <c r="AA5" s="2"/>
      <c r="AB5" s="2"/>
      <c r="AC5" s="1"/>
      <c r="AD5" s="40"/>
      <c r="AE5" s="15"/>
      <c r="AF5" s="2">
        <v>11</v>
      </c>
      <c r="AG5" s="2"/>
      <c r="AH5" s="2"/>
      <c r="AI5" s="2">
        <v>12</v>
      </c>
      <c r="AJ5" s="1">
        <v>11</v>
      </c>
      <c r="AK5" s="16">
        <v>22</v>
      </c>
      <c r="AL5">
        <f t="shared" ref="AL5:AL17" si="3">SUM(C5:AK5)</f>
        <v>145</v>
      </c>
      <c r="AO5" t="str">
        <f t="shared" ref="AO5:AO17" si="4">A5</f>
        <v>خالد جابر</v>
      </c>
      <c r="AP5" s="2">
        <f>'النصاب الكامل'!AM4</f>
        <v>7</v>
      </c>
      <c r="AQ5" s="2">
        <f>'النصاب الكامل'!AN4</f>
        <v>0</v>
      </c>
      <c r="AR5" s="2">
        <f>'النصاب الكامل'!AO4</f>
        <v>2</v>
      </c>
      <c r="AS5" s="2">
        <f>'النصاب الكامل'!AP4</f>
        <v>2</v>
      </c>
      <c r="AT5" s="2">
        <f>'النصاب الكامل'!AQ4</f>
        <v>0</v>
      </c>
      <c r="AU5" s="2">
        <f>'النصاب الكامل'!AR4</f>
        <v>0</v>
      </c>
      <c r="AV5" s="2">
        <f>'النصاب الكامل'!AS4</f>
        <v>0</v>
      </c>
      <c r="AW5" s="2">
        <f>'النصاب الكامل'!AT4</f>
        <v>0</v>
      </c>
      <c r="AX5" s="2">
        <f>'النصاب الكامل'!AU4</f>
        <v>0</v>
      </c>
      <c r="AY5" s="2">
        <f>'النصاب الكامل'!AV4</f>
        <v>0</v>
      </c>
      <c r="AZ5" s="2">
        <f>'النصاب الكامل'!AW4</f>
        <v>0</v>
      </c>
      <c r="BA5" s="2">
        <f>'النصاب الكامل'!AX4</f>
        <v>0</v>
      </c>
      <c r="BB5">
        <f t="shared" si="1"/>
        <v>7</v>
      </c>
      <c r="BC5">
        <f t="shared" si="1"/>
        <v>0</v>
      </c>
      <c r="BD5">
        <f t="shared" si="1"/>
        <v>2</v>
      </c>
      <c r="BE5">
        <f t="shared" si="1"/>
        <v>2</v>
      </c>
      <c r="BF5">
        <f t="shared" si="1"/>
        <v>0</v>
      </c>
      <c r="BG5">
        <f t="shared" si="1"/>
        <v>0</v>
      </c>
      <c r="BH5">
        <f t="shared" si="1"/>
        <v>0</v>
      </c>
      <c r="BI5">
        <f t="shared" si="1"/>
        <v>0</v>
      </c>
      <c r="BJ5">
        <f t="shared" si="1"/>
        <v>0</v>
      </c>
      <c r="BK5">
        <f t="shared" si="1"/>
        <v>0</v>
      </c>
      <c r="BL5">
        <f t="shared" si="1"/>
        <v>0</v>
      </c>
      <c r="BM5">
        <f t="shared" si="1"/>
        <v>0</v>
      </c>
      <c r="BN5" s="15" t="str">
        <f t="shared" ref="BN5:BN17" si="5">IF(AP5-BB5=0,"",AP5-BB5)</f>
        <v/>
      </c>
      <c r="BO5" s="15" t="str">
        <f t="shared" ref="BO5:BO17" si="6">IF(AQ5-BC5=0,"",AQ5-BC5)</f>
        <v/>
      </c>
      <c r="BP5" s="15" t="str">
        <f t="shared" ref="BP5:BP17" si="7">IF(AR5-BD5=0,"",AR5-BD5)</f>
        <v/>
      </c>
      <c r="BQ5" s="15" t="str">
        <f t="shared" ref="BQ5:BQ17" si="8">IF(AS5-BE5=0,"",AS5-BE5)</f>
        <v/>
      </c>
      <c r="BR5" s="15" t="str">
        <f t="shared" ref="BR5:BR17" si="9">IF(AT5-BF5=0,"",AT5-BF5)</f>
        <v/>
      </c>
      <c r="BS5" s="15" t="str">
        <f t="shared" ref="BS5:BS17" si="10">IF(AU5-BG5=0,"",AU5-BG5)</f>
        <v/>
      </c>
      <c r="BT5" s="15" t="str">
        <f t="shared" ref="BT5:BT17" si="11">IF(AV5-BH5=0,"",AV5-BH5)</f>
        <v/>
      </c>
      <c r="BU5" s="15" t="str">
        <f t="shared" ref="BU5:BU17" si="12">IF(AW5-BI5=0,"",AW5-BI5)</f>
        <v/>
      </c>
      <c r="BV5" s="15" t="str">
        <f t="shared" ref="BV5:BV17" si="13">IF(AX5-BJ5=0,"",AX5-BJ5)</f>
        <v/>
      </c>
      <c r="BW5" s="15" t="str">
        <f t="shared" ref="BW5:BW17" si="14">IF(AY5-BK5=0,"",AY5-BK5)</f>
        <v/>
      </c>
      <c r="BX5" s="15" t="str">
        <f t="shared" ref="BX5:BX17" si="15">IF(AZ5-BL5=0,"",AZ5-BL5)</f>
        <v/>
      </c>
      <c r="BY5" s="16" t="str">
        <f t="shared" ref="BY5:BY17" si="16">IF(BA5-BM5=0,"",BA5-BM5)</f>
        <v/>
      </c>
      <c r="BZ5">
        <f t="shared" ref="BZ5:BZ17" si="17">SUM(BN5:BY5)</f>
        <v>0</v>
      </c>
      <c r="CB5">
        <f>CB4+1</f>
        <v>2</v>
      </c>
      <c r="CC5">
        <f>IF(BS8="",0,BS8)</f>
        <v>0</v>
      </c>
      <c r="CD5">
        <f>SUM(CC4:CC11)</f>
        <v>0</v>
      </c>
    </row>
    <row r="6" spans="1:82" ht="15" customHeight="1" x14ac:dyDescent="0.45">
      <c r="A6" t="str">
        <f>'النصاب الكامل'!AL5</f>
        <v>فرحان علي</v>
      </c>
      <c r="B6">
        <f>'النصاب الكامل'!AY5</f>
        <v>14</v>
      </c>
      <c r="C6" s="15">
        <v>12</v>
      </c>
      <c r="D6" s="2"/>
      <c r="E6" s="2"/>
      <c r="F6" s="2"/>
      <c r="G6" s="2"/>
      <c r="H6" s="16"/>
      <c r="I6" s="40"/>
      <c r="J6" s="17">
        <v>12</v>
      </c>
      <c r="K6" s="2">
        <v>22</v>
      </c>
      <c r="L6" s="2"/>
      <c r="M6" s="2"/>
      <c r="N6" s="2"/>
      <c r="O6" s="1"/>
      <c r="P6" s="40"/>
      <c r="Q6" s="15"/>
      <c r="R6" s="2">
        <v>16</v>
      </c>
      <c r="S6" s="2"/>
      <c r="T6" s="2">
        <v>22</v>
      </c>
      <c r="U6" s="2">
        <v>12</v>
      </c>
      <c r="V6" s="16">
        <v>12</v>
      </c>
      <c r="W6" s="40">
        <v>22</v>
      </c>
      <c r="X6" s="17"/>
      <c r="Y6" s="2"/>
      <c r="Z6" s="2"/>
      <c r="AA6" s="2">
        <v>26</v>
      </c>
      <c r="AB6" s="2">
        <v>22</v>
      </c>
      <c r="AC6" s="1">
        <v>16</v>
      </c>
      <c r="AD6" s="40">
        <v>12</v>
      </c>
      <c r="AE6" s="15"/>
      <c r="AF6" s="2"/>
      <c r="AG6" s="2"/>
      <c r="AH6" s="2">
        <v>22</v>
      </c>
      <c r="AI6" s="2">
        <v>26</v>
      </c>
      <c r="AJ6" s="1"/>
      <c r="AK6" s="16"/>
      <c r="AL6">
        <f t="shared" si="3"/>
        <v>254</v>
      </c>
      <c r="AO6" t="str">
        <f t="shared" si="4"/>
        <v>فرحان علي</v>
      </c>
      <c r="AP6" s="2">
        <f>'النصاب الكامل'!AM5</f>
        <v>0</v>
      </c>
      <c r="AQ6" s="2">
        <f>'النصاب الكامل'!AN5</f>
        <v>0</v>
      </c>
      <c r="AR6" s="2">
        <f>'النصاب الكامل'!AO5</f>
        <v>5</v>
      </c>
      <c r="AS6" s="2">
        <f>'النصاب الكامل'!AP5</f>
        <v>5</v>
      </c>
      <c r="AT6" s="2">
        <f>'النصاب الكامل'!AQ5</f>
        <v>0</v>
      </c>
      <c r="AU6" s="2">
        <f>'النصاب الكامل'!AR5</f>
        <v>0</v>
      </c>
      <c r="AV6" s="2">
        <f>'النصاب الكامل'!AS5</f>
        <v>0</v>
      </c>
      <c r="AW6" s="2">
        <f>'النصاب الكامل'!AT5</f>
        <v>0</v>
      </c>
      <c r="AX6" s="2">
        <f>'النصاب الكامل'!AU5</f>
        <v>0</v>
      </c>
      <c r="AY6" s="2">
        <f>'النصاب الكامل'!AV5</f>
        <v>0</v>
      </c>
      <c r="AZ6" s="2">
        <f>'النصاب الكامل'!AW5</f>
        <v>2</v>
      </c>
      <c r="BA6" s="2">
        <f>'النصاب الكامل'!AX5</f>
        <v>2</v>
      </c>
      <c r="BB6">
        <f t="shared" si="1"/>
        <v>0</v>
      </c>
      <c r="BC6">
        <f t="shared" si="1"/>
        <v>0</v>
      </c>
      <c r="BD6">
        <f t="shared" si="1"/>
        <v>5</v>
      </c>
      <c r="BE6">
        <f t="shared" si="1"/>
        <v>5</v>
      </c>
      <c r="BF6">
        <f t="shared" si="1"/>
        <v>0</v>
      </c>
      <c r="BG6">
        <f t="shared" si="1"/>
        <v>0</v>
      </c>
      <c r="BH6">
        <f t="shared" si="1"/>
        <v>0</v>
      </c>
      <c r="BI6">
        <f t="shared" si="1"/>
        <v>0</v>
      </c>
      <c r="BJ6">
        <f t="shared" si="1"/>
        <v>0</v>
      </c>
      <c r="BK6">
        <f t="shared" si="1"/>
        <v>0</v>
      </c>
      <c r="BL6">
        <f t="shared" si="1"/>
        <v>2</v>
      </c>
      <c r="BM6">
        <f t="shared" si="1"/>
        <v>2</v>
      </c>
      <c r="BN6" s="15" t="str">
        <f t="shared" si="5"/>
        <v/>
      </c>
      <c r="BO6" s="15" t="str">
        <f t="shared" si="6"/>
        <v/>
      </c>
      <c r="BP6" s="15" t="str">
        <f t="shared" si="7"/>
        <v/>
      </c>
      <c r="BQ6" s="15" t="str">
        <f t="shared" si="8"/>
        <v/>
      </c>
      <c r="BR6" s="15" t="str">
        <f t="shared" si="9"/>
        <v/>
      </c>
      <c r="BS6" s="15" t="str">
        <f t="shared" si="10"/>
        <v/>
      </c>
      <c r="BT6" s="15" t="str">
        <f t="shared" si="11"/>
        <v/>
      </c>
      <c r="BU6" s="15" t="str">
        <f t="shared" si="12"/>
        <v/>
      </c>
      <c r="BV6" s="15" t="str">
        <f t="shared" si="13"/>
        <v/>
      </c>
      <c r="BW6" s="15" t="str">
        <f t="shared" si="14"/>
        <v/>
      </c>
      <c r="BX6" s="15" t="str">
        <f t="shared" si="15"/>
        <v/>
      </c>
      <c r="BY6" s="16" t="str">
        <f t="shared" si="16"/>
        <v/>
      </c>
      <c r="BZ6">
        <f t="shared" si="17"/>
        <v>0</v>
      </c>
      <c r="CB6">
        <f t="shared" ref="CB6:CB32" si="18">CB5+1</f>
        <v>3</v>
      </c>
      <c r="CC6">
        <f>IF(BR10="",0,BR10)</f>
        <v>0</v>
      </c>
    </row>
    <row r="7" spans="1:82" x14ac:dyDescent="0.45">
      <c r="A7" t="str">
        <f>'النصاب الكامل'!AL6</f>
        <v>محمد الحجفي</v>
      </c>
      <c r="B7">
        <f>'النصاب الكامل'!AY6</f>
        <v>10</v>
      </c>
      <c r="C7" s="15"/>
      <c r="D7" s="15"/>
      <c r="E7" s="15">
        <v>14</v>
      </c>
      <c r="F7" s="15"/>
      <c r="G7" s="15">
        <v>24</v>
      </c>
      <c r="H7" s="15"/>
      <c r="I7" s="15"/>
      <c r="J7" s="15">
        <v>23</v>
      </c>
      <c r="K7" s="15">
        <v>13</v>
      </c>
      <c r="L7" s="15"/>
      <c r="M7" s="15"/>
      <c r="N7" s="15"/>
      <c r="O7" s="15"/>
      <c r="P7" s="15"/>
      <c r="Q7" s="15">
        <v>24</v>
      </c>
      <c r="R7" s="15"/>
      <c r="S7" s="15"/>
      <c r="T7" s="15"/>
      <c r="U7" s="15"/>
      <c r="V7" s="15"/>
      <c r="W7" s="15"/>
      <c r="X7" s="15"/>
      <c r="Y7" s="15"/>
      <c r="Z7" s="15"/>
      <c r="AA7" s="15"/>
      <c r="AB7" s="15">
        <v>24</v>
      </c>
      <c r="AC7" s="15">
        <v>14</v>
      </c>
      <c r="AD7" s="15"/>
      <c r="AE7" s="15"/>
      <c r="AF7" s="15"/>
      <c r="AG7" s="15">
        <v>23</v>
      </c>
      <c r="AH7" s="15">
        <v>14</v>
      </c>
      <c r="AI7" s="15">
        <v>13</v>
      </c>
      <c r="AJ7" s="15"/>
      <c r="AK7" s="15"/>
      <c r="AL7">
        <f t="shared" si="3"/>
        <v>186</v>
      </c>
      <c r="AO7" t="str">
        <f t="shared" si="4"/>
        <v>محمد الحجفي</v>
      </c>
      <c r="AP7" s="2">
        <f>'النصاب الكامل'!AM6</f>
        <v>0</v>
      </c>
      <c r="AQ7" s="2">
        <f>'النصاب الكامل'!AN6</f>
        <v>0</v>
      </c>
      <c r="AR7" s="2">
        <f>'النصاب الكامل'!AO6</f>
        <v>0</v>
      </c>
      <c r="AS7" s="2">
        <f>'النصاب الكامل'!AP6</f>
        <v>0</v>
      </c>
      <c r="AT7" s="2">
        <f>'النصاب الكامل'!AQ6</f>
        <v>2</v>
      </c>
      <c r="AU7" s="2">
        <f>'النصاب الكامل'!AR6</f>
        <v>2</v>
      </c>
      <c r="AV7" s="2">
        <f>'النصاب الكامل'!AS6</f>
        <v>3</v>
      </c>
      <c r="AW7" s="2">
        <f>'النصاب الكامل'!AT6</f>
        <v>3</v>
      </c>
      <c r="AX7" s="2">
        <f>'النصاب الكامل'!AU6</f>
        <v>0</v>
      </c>
      <c r="AY7" s="2">
        <f>'النصاب الكامل'!AV6</f>
        <v>0</v>
      </c>
      <c r="AZ7" s="2">
        <f>'النصاب الكامل'!AW6</f>
        <v>0</v>
      </c>
      <c r="BA7" s="2">
        <f>'النصاب الكامل'!AX6</f>
        <v>0</v>
      </c>
      <c r="BB7">
        <f t="shared" si="1"/>
        <v>0</v>
      </c>
      <c r="BC7">
        <f t="shared" si="1"/>
        <v>0</v>
      </c>
      <c r="BD7">
        <f t="shared" si="1"/>
        <v>0</v>
      </c>
      <c r="BE7">
        <f t="shared" si="1"/>
        <v>0</v>
      </c>
      <c r="BF7">
        <f t="shared" si="1"/>
        <v>2</v>
      </c>
      <c r="BG7">
        <f t="shared" si="1"/>
        <v>2</v>
      </c>
      <c r="BH7">
        <f t="shared" si="1"/>
        <v>3</v>
      </c>
      <c r="BI7">
        <f t="shared" si="1"/>
        <v>3</v>
      </c>
      <c r="BJ7">
        <f t="shared" si="1"/>
        <v>0</v>
      </c>
      <c r="BK7">
        <f t="shared" si="1"/>
        <v>0</v>
      </c>
      <c r="BL7">
        <f t="shared" si="1"/>
        <v>0</v>
      </c>
      <c r="BM7">
        <f t="shared" si="1"/>
        <v>0</v>
      </c>
      <c r="BN7" s="15" t="str">
        <f t="shared" si="5"/>
        <v/>
      </c>
      <c r="BO7" s="15" t="str">
        <f t="shared" si="6"/>
        <v/>
      </c>
      <c r="BP7" s="15" t="str">
        <f t="shared" si="7"/>
        <v/>
      </c>
      <c r="BQ7" s="15" t="str">
        <f t="shared" si="8"/>
        <v/>
      </c>
      <c r="BR7" s="15" t="str">
        <f t="shared" si="9"/>
        <v/>
      </c>
      <c r="BS7" s="15" t="str">
        <f t="shared" si="10"/>
        <v/>
      </c>
      <c r="BT7" s="15" t="str">
        <f t="shared" si="11"/>
        <v/>
      </c>
      <c r="BU7" s="15" t="str">
        <f t="shared" si="12"/>
        <v/>
      </c>
      <c r="BV7" s="15" t="str">
        <f t="shared" si="13"/>
        <v/>
      </c>
      <c r="BW7" s="15" t="str">
        <f t="shared" si="14"/>
        <v/>
      </c>
      <c r="BX7" s="15" t="str">
        <f t="shared" si="15"/>
        <v/>
      </c>
      <c r="BY7" s="16" t="str">
        <f t="shared" si="16"/>
        <v/>
      </c>
      <c r="BZ7">
        <f t="shared" si="17"/>
        <v>0</v>
      </c>
      <c r="CB7">
        <f t="shared" si="18"/>
        <v>4</v>
      </c>
      <c r="CC7">
        <f>IF(BS10="",0,BS10)</f>
        <v>0</v>
      </c>
    </row>
    <row r="8" spans="1:82" x14ac:dyDescent="0.45">
      <c r="A8" t="str">
        <f>'النصاب الكامل'!AL7</f>
        <v>أبو عاصم</v>
      </c>
      <c r="B8">
        <f>'النصاب الكامل'!AY7</f>
        <v>8</v>
      </c>
      <c r="C8" s="15"/>
      <c r="D8" s="15">
        <v>14</v>
      </c>
      <c r="E8" s="15">
        <v>24</v>
      </c>
      <c r="F8" s="15"/>
      <c r="G8" s="15"/>
      <c r="H8" s="15"/>
      <c r="I8" s="15"/>
      <c r="J8" s="15"/>
      <c r="K8" s="15">
        <v>24</v>
      </c>
      <c r="L8" s="15"/>
      <c r="M8" s="15"/>
      <c r="N8" s="15"/>
      <c r="O8" s="15"/>
      <c r="P8" s="15"/>
      <c r="Q8" s="15"/>
      <c r="R8" s="15"/>
      <c r="S8" s="15">
        <v>24</v>
      </c>
      <c r="T8" s="15"/>
      <c r="U8" s="15"/>
      <c r="V8" s="15">
        <v>14</v>
      </c>
      <c r="W8" s="15"/>
      <c r="X8" s="15"/>
      <c r="Y8" s="15">
        <v>24</v>
      </c>
      <c r="Z8" s="15"/>
      <c r="AA8" s="15">
        <v>14</v>
      </c>
      <c r="AB8" s="15"/>
      <c r="AC8" s="15"/>
      <c r="AD8" s="15"/>
      <c r="AE8" s="15"/>
      <c r="AF8" s="15"/>
      <c r="AG8" s="15">
        <v>14</v>
      </c>
      <c r="AH8" s="15"/>
      <c r="AI8" s="15"/>
      <c r="AJ8" s="15"/>
      <c r="AK8" s="15"/>
      <c r="AL8">
        <f t="shared" si="3"/>
        <v>152</v>
      </c>
      <c r="AO8" t="str">
        <f t="shared" si="4"/>
        <v>أبو عاصم</v>
      </c>
      <c r="AP8" s="2">
        <f>'النصاب الكامل'!AM7</f>
        <v>0</v>
      </c>
      <c r="AQ8" s="2">
        <f>'النصاب الكامل'!AN7</f>
        <v>0</v>
      </c>
      <c r="AR8" s="2">
        <f>'النصاب الكامل'!AO7</f>
        <v>0</v>
      </c>
      <c r="AS8" s="2">
        <f>'النصاب الكامل'!AP7</f>
        <v>0</v>
      </c>
      <c r="AT8" s="2">
        <f>'النصاب الكامل'!AQ7</f>
        <v>0</v>
      </c>
      <c r="AU8" s="2">
        <f>'النصاب الكامل'!AR7</f>
        <v>0</v>
      </c>
      <c r="AV8" s="2">
        <f>'النصاب الكامل'!AS7</f>
        <v>4</v>
      </c>
      <c r="AW8" s="2">
        <f>'النصاب الكامل'!AT7</f>
        <v>4</v>
      </c>
      <c r="AX8" s="2">
        <f>'النصاب الكامل'!AU7</f>
        <v>0</v>
      </c>
      <c r="AY8" s="2">
        <f>'النصاب الكامل'!AV7</f>
        <v>0</v>
      </c>
      <c r="AZ8" s="2">
        <f>'النصاب الكامل'!AW7</f>
        <v>0</v>
      </c>
      <c r="BA8" s="2">
        <f>'النصاب الكامل'!AX7</f>
        <v>0</v>
      </c>
      <c r="BB8">
        <f t="shared" si="1"/>
        <v>0</v>
      </c>
      <c r="BC8">
        <f t="shared" si="1"/>
        <v>0</v>
      </c>
      <c r="BD8">
        <f t="shared" si="1"/>
        <v>0</v>
      </c>
      <c r="BE8">
        <f t="shared" si="1"/>
        <v>0</v>
      </c>
      <c r="BF8">
        <f t="shared" si="1"/>
        <v>0</v>
      </c>
      <c r="BG8">
        <f t="shared" si="1"/>
        <v>0</v>
      </c>
      <c r="BH8">
        <f t="shared" si="1"/>
        <v>4</v>
      </c>
      <c r="BI8">
        <f t="shared" si="1"/>
        <v>4</v>
      </c>
      <c r="BJ8">
        <f t="shared" si="1"/>
        <v>0</v>
      </c>
      <c r="BK8">
        <f t="shared" si="1"/>
        <v>0</v>
      </c>
      <c r="BL8">
        <f t="shared" si="1"/>
        <v>0</v>
      </c>
      <c r="BM8">
        <f t="shared" si="1"/>
        <v>0</v>
      </c>
      <c r="BN8" s="15" t="str">
        <f t="shared" si="5"/>
        <v/>
      </c>
      <c r="BO8" s="15" t="str">
        <f t="shared" si="6"/>
        <v/>
      </c>
      <c r="BP8" s="15" t="str">
        <f t="shared" si="7"/>
        <v/>
      </c>
      <c r="BQ8" s="15" t="str">
        <f t="shared" si="8"/>
        <v/>
      </c>
      <c r="BR8" s="15" t="str">
        <f t="shared" si="9"/>
        <v/>
      </c>
      <c r="BS8" s="15" t="str">
        <f t="shared" si="10"/>
        <v/>
      </c>
      <c r="BT8" s="15" t="str">
        <f t="shared" si="11"/>
        <v/>
      </c>
      <c r="BU8" s="15" t="str">
        <f t="shared" si="12"/>
        <v/>
      </c>
      <c r="BV8" s="15" t="str">
        <f t="shared" si="13"/>
        <v/>
      </c>
      <c r="BW8" s="15" t="str">
        <f t="shared" si="14"/>
        <v/>
      </c>
      <c r="BX8" s="15" t="str">
        <f t="shared" si="15"/>
        <v/>
      </c>
      <c r="BY8" s="16" t="str">
        <f t="shared" si="16"/>
        <v/>
      </c>
      <c r="BZ8">
        <f t="shared" si="17"/>
        <v>0</v>
      </c>
      <c r="CB8">
        <f t="shared" si="18"/>
        <v>5</v>
      </c>
      <c r="CC8">
        <f>IF(BR14="",0,BR14)</f>
        <v>0</v>
      </c>
    </row>
    <row r="9" spans="1:82" x14ac:dyDescent="0.45">
      <c r="A9" t="str">
        <f>'النصاب الكامل'!AL8</f>
        <v>علي اليحيوي</v>
      </c>
      <c r="B9">
        <f>'النصاب الكامل'!AY8</f>
        <v>15</v>
      </c>
      <c r="C9" s="15"/>
      <c r="D9" s="2">
        <v>11</v>
      </c>
      <c r="E9" s="2">
        <v>22</v>
      </c>
      <c r="F9" s="2"/>
      <c r="G9" s="2"/>
      <c r="H9" s="16"/>
      <c r="I9" s="40"/>
      <c r="J9" s="17"/>
      <c r="K9" s="2"/>
      <c r="L9" s="2">
        <v>12</v>
      </c>
      <c r="M9" s="2">
        <v>22</v>
      </c>
      <c r="N9" s="2"/>
      <c r="O9" s="1"/>
      <c r="P9" s="40"/>
      <c r="Q9" s="15">
        <v>12</v>
      </c>
      <c r="R9" s="2">
        <v>22</v>
      </c>
      <c r="S9" s="2"/>
      <c r="T9" s="2"/>
      <c r="U9" s="2"/>
      <c r="V9" s="16"/>
      <c r="W9" s="40"/>
      <c r="X9" s="17"/>
      <c r="Y9" s="2"/>
      <c r="Z9" s="2">
        <v>11</v>
      </c>
      <c r="AA9" s="2">
        <v>11</v>
      </c>
      <c r="AB9" s="2"/>
      <c r="AC9" s="1">
        <v>12</v>
      </c>
      <c r="AD9" s="40">
        <v>22</v>
      </c>
      <c r="AE9" s="15"/>
      <c r="AF9" s="2"/>
      <c r="AG9" s="2">
        <v>22</v>
      </c>
      <c r="AH9" s="2">
        <v>11</v>
      </c>
      <c r="AI9" s="2">
        <v>11</v>
      </c>
      <c r="AJ9" s="1">
        <v>12</v>
      </c>
      <c r="AK9" s="16">
        <v>12</v>
      </c>
      <c r="AL9">
        <f t="shared" si="3"/>
        <v>225</v>
      </c>
      <c r="AO9" t="str">
        <f t="shared" si="4"/>
        <v>علي اليحيوي</v>
      </c>
      <c r="AP9" s="2">
        <f>'النصاب الكامل'!AM8</f>
        <v>5</v>
      </c>
      <c r="AQ9" s="2">
        <f>'النصاب الكامل'!AN8</f>
        <v>0</v>
      </c>
      <c r="AR9" s="2">
        <f>'النصاب الكامل'!AO8</f>
        <v>5</v>
      </c>
      <c r="AS9" s="2">
        <f>'النصاب الكامل'!AP8</f>
        <v>5</v>
      </c>
      <c r="AT9" s="2">
        <f>'النصاب الكامل'!AQ8</f>
        <v>0</v>
      </c>
      <c r="AU9" s="2">
        <f>'النصاب الكامل'!AR8</f>
        <v>0</v>
      </c>
      <c r="AV9" s="2">
        <f>'النصاب الكامل'!AS8</f>
        <v>0</v>
      </c>
      <c r="AW9" s="2">
        <f>'النصاب الكامل'!AT8</f>
        <v>0</v>
      </c>
      <c r="AX9" s="2">
        <f>'النصاب الكامل'!AU8</f>
        <v>0</v>
      </c>
      <c r="AY9" s="2">
        <f>'النصاب الكامل'!AV8</f>
        <v>0</v>
      </c>
      <c r="AZ9" s="2">
        <f>'النصاب الكامل'!AW8</f>
        <v>0</v>
      </c>
      <c r="BA9" s="2">
        <f>'النصاب الكامل'!AX8</f>
        <v>0</v>
      </c>
      <c r="BB9">
        <f t="shared" si="1"/>
        <v>5</v>
      </c>
      <c r="BC9">
        <f t="shared" si="1"/>
        <v>0</v>
      </c>
      <c r="BD9">
        <f t="shared" si="1"/>
        <v>5</v>
      </c>
      <c r="BE9">
        <f t="shared" si="1"/>
        <v>5</v>
      </c>
      <c r="BF9">
        <f t="shared" si="1"/>
        <v>0</v>
      </c>
      <c r="BG9">
        <f t="shared" si="1"/>
        <v>0</v>
      </c>
      <c r="BH9">
        <f t="shared" si="1"/>
        <v>0</v>
      </c>
      <c r="BI9">
        <f t="shared" si="1"/>
        <v>0</v>
      </c>
      <c r="BJ9">
        <f t="shared" si="1"/>
        <v>0</v>
      </c>
      <c r="BK9">
        <f t="shared" si="1"/>
        <v>0</v>
      </c>
      <c r="BL9">
        <f t="shared" si="1"/>
        <v>0</v>
      </c>
      <c r="BM9">
        <f t="shared" si="1"/>
        <v>0</v>
      </c>
      <c r="BN9" s="15" t="str">
        <f t="shared" si="5"/>
        <v/>
      </c>
      <c r="BO9" s="15" t="str">
        <f t="shared" si="6"/>
        <v/>
      </c>
      <c r="BP9" s="15" t="str">
        <f t="shared" si="7"/>
        <v/>
      </c>
      <c r="BQ9" s="15" t="str">
        <f t="shared" si="8"/>
        <v/>
      </c>
      <c r="BR9" s="15" t="str">
        <f t="shared" si="9"/>
        <v/>
      </c>
      <c r="BS9" s="15" t="str">
        <f t="shared" si="10"/>
        <v/>
      </c>
      <c r="BT9" s="15" t="str">
        <f t="shared" si="11"/>
        <v/>
      </c>
      <c r="BU9" s="15" t="str">
        <f t="shared" si="12"/>
        <v/>
      </c>
      <c r="BV9" s="15" t="str">
        <f t="shared" si="13"/>
        <v/>
      </c>
      <c r="BW9" s="15" t="str">
        <f t="shared" si="14"/>
        <v/>
      </c>
      <c r="BX9" s="15" t="str">
        <f t="shared" si="15"/>
        <v/>
      </c>
      <c r="BY9" s="16" t="str">
        <f t="shared" si="16"/>
        <v/>
      </c>
      <c r="BZ9">
        <f t="shared" si="17"/>
        <v>0</v>
      </c>
      <c r="CB9">
        <f t="shared" si="18"/>
        <v>6</v>
      </c>
      <c r="CC9">
        <f>IF(BS14="",0,BS14)</f>
        <v>0</v>
      </c>
    </row>
    <row r="10" spans="1:82" x14ac:dyDescent="0.45">
      <c r="A10" t="str">
        <f>'النصاب الكامل'!AL9</f>
        <v>جبر الغزواني</v>
      </c>
      <c r="B10">
        <f>'النصاب الكامل'!AY9</f>
        <v>10</v>
      </c>
      <c r="C10" s="15"/>
      <c r="D10" s="15"/>
      <c r="E10" s="15"/>
      <c r="F10" s="15"/>
      <c r="G10" s="15">
        <v>23</v>
      </c>
      <c r="H10" s="15">
        <v>13</v>
      </c>
      <c r="I10" s="15">
        <v>13</v>
      </c>
      <c r="J10" s="15"/>
      <c r="K10" s="15"/>
      <c r="L10" s="15"/>
      <c r="M10" s="15"/>
      <c r="N10" s="15">
        <v>13</v>
      </c>
      <c r="O10" s="15">
        <v>23</v>
      </c>
      <c r="P10" s="15"/>
      <c r="Q10" s="15">
        <v>23</v>
      </c>
      <c r="R10" s="15"/>
      <c r="S10" s="15">
        <v>13</v>
      </c>
      <c r="T10" s="15"/>
      <c r="U10" s="15"/>
      <c r="V10" s="15"/>
      <c r="W10" s="15"/>
      <c r="X10" s="15"/>
      <c r="Y10" s="15"/>
      <c r="Z10" s="15"/>
      <c r="AA10" s="15"/>
      <c r="AB10" s="15"/>
      <c r="AC10" s="15">
        <v>13</v>
      </c>
      <c r="AD10" s="15">
        <v>23</v>
      </c>
      <c r="AE10" s="15">
        <v>23</v>
      </c>
      <c r="AF10" s="15"/>
      <c r="AL10">
        <f t="shared" si="3"/>
        <v>180</v>
      </c>
      <c r="AO10" t="str">
        <f t="shared" si="4"/>
        <v>جبر الغزواني</v>
      </c>
      <c r="AP10" s="2">
        <f>'النصاب الكامل'!AM9</f>
        <v>0</v>
      </c>
      <c r="AQ10" s="2">
        <f>'النصاب الكامل'!AN9</f>
        <v>0</v>
      </c>
      <c r="AR10" s="2">
        <f>'النصاب الكامل'!AO9</f>
        <v>0</v>
      </c>
      <c r="AS10" s="2">
        <f>'النصاب الكامل'!AP9</f>
        <v>0</v>
      </c>
      <c r="AT10" s="2">
        <f>'النصاب الكامل'!AQ9</f>
        <v>5</v>
      </c>
      <c r="AU10" s="2">
        <f>'النصاب الكامل'!AR9</f>
        <v>5</v>
      </c>
      <c r="AV10" s="2">
        <f>'النصاب الكامل'!AS9</f>
        <v>0</v>
      </c>
      <c r="AW10" s="2">
        <f>'النصاب الكامل'!AT9</f>
        <v>0</v>
      </c>
      <c r="AX10" s="2">
        <f>'النصاب الكامل'!AU9</f>
        <v>0</v>
      </c>
      <c r="AY10" s="2">
        <f>'النصاب الكامل'!AV9</f>
        <v>0</v>
      </c>
      <c r="AZ10" s="2">
        <f>'النصاب الكامل'!AW9</f>
        <v>0</v>
      </c>
      <c r="BA10" s="2">
        <f>'النصاب الكامل'!AX9</f>
        <v>0</v>
      </c>
      <c r="BB10">
        <f t="shared" si="1"/>
        <v>0</v>
      </c>
      <c r="BC10">
        <f t="shared" si="1"/>
        <v>0</v>
      </c>
      <c r="BD10">
        <f t="shared" si="1"/>
        <v>0</v>
      </c>
      <c r="BE10">
        <f t="shared" si="1"/>
        <v>0</v>
      </c>
      <c r="BF10">
        <f t="shared" si="1"/>
        <v>5</v>
      </c>
      <c r="BG10">
        <f t="shared" si="1"/>
        <v>5</v>
      </c>
      <c r="BH10">
        <f t="shared" si="1"/>
        <v>0</v>
      </c>
      <c r="BI10">
        <f t="shared" si="1"/>
        <v>0</v>
      </c>
      <c r="BJ10">
        <f t="shared" si="1"/>
        <v>0</v>
      </c>
      <c r="BK10">
        <f t="shared" si="1"/>
        <v>0</v>
      </c>
      <c r="BL10">
        <f t="shared" si="1"/>
        <v>0</v>
      </c>
      <c r="BM10">
        <f t="shared" si="1"/>
        <v>0</v>
      </c>
      <c r="BN10" s="15" t="str">
        <f t="shared" si="5"/>
        <v/>
      </c>
      <c r="BO10" s="15" t="str">
        <f t="shared" si="6"/>
        <v/>
      </c>
      <c r="BP10" s="15" t="str">
        <f t="shared" si="7"/>
        <v/>
      </c>
      <c r="BQ10" s="15" t="str">
        <f t="shared" si="8"/>
        <v/>
      </c>
      <c r="BR10" s="15" t="str">
        <f t="shared" si="9"/>
        <v/>
      </c>
      <c r="BS10" s="15" t="str">
        <f t="shared" si="10"/>
        <v/>
      </c>
      <c r="BT10" s="15" t="str">
        <f t="shared" si="11"/>
        <v/>
      </c>
      <c r="BU10" s="15" t="str">
        <f t="shared" si="12"/>
        <v/>
      </c>
      <c r="BV10" s="15" t="str">
        <f t="shared" si="13"/>
        <v/>
      </c>
      <c r="BW10" s="15" t="str">
        <f t="shared" si="14"/>
        <v/>
      </c>
      <c r="BX10" s="15" t="str">
        <f t="shared" si="15"/>
        <v/>
      </c>
      <c r="BY10" s="16" t="str">
        <f t="shared" si="16"/>
        <v/>
      </c>
      <c r="BZ10">
        <f t="shared" si="17"/>
        <v>0</v>
      </c>
      <c r="CB10">
        <f t="shared" si="18"/>
        <v>7</v>
      </c>
      <c r="CC10">
        <f>IF(BR17="",0,BR17)</f>
        <v>0</v>
      </c>
    </row>
    <row r="11" spans="1:82" x14ac:dyDescent="0.45">
      <c r="A11" t="str">
        <f>'النصاب الكامل'!AL10</f>
        <v>حسين العثواني</v>
      </c>
      <c r="B11">
        <f>'النصاب الكامل'!AY10</f>
        <v>12</v>
      </c>
      <c r="C11" s="15"/>
      <c r="D11" s="15"/>
      <c r="E11" s="15">
        <v>11</v>
      </c>
      <c r="F11" s="15"/>
      <c r="G11" s="15">
        <v>25</v>
      </c>
      <c r="H11" s="15">
        <v>15</v>
      </c>
      <c r="I11" s="15">
        <v>15</v>
      </c>
      <c r="J11" s="15"/>
      <c r="K11" s="15"/>
      <c r="L11" s="15">
        <v>25</v>
      </c>
      <c r="M11" s="15"/>
      <c r="N11" s="15"/>
      <c r="O11" s="15"/>
      <c r="P11" s="15"/>
      <c r="Q11" s="15">
        <v>11</v>
      </c>
      <c r="R11" s="15"/>
      <c r="S11" s="15"/>
      <c r="T11" s="15"/>
      <c r="U11" s="15"/>
      <c r="V11" s="15"/>
      <c r="W11" s="15"/>
      <c r="X11" s="15"/>
      <c r="Y11" s="15"/>
      <c r="Z11" s="15"/>
      <c r="AA11" s="15">
        <v>25</v>
      </c>
      <c r="AB11" s="15"/>
      <c r="AC11" s="15">
        <v>15</v>
      </c>
      <c r="AD11" s="15"/>
      <c r="AE11" s="15"/>
      <c r="AF11" s="15"/>
      <c r="AG11" s="15">
        <v>11</v>
      </c>
      <c r="AH11" s="15"/>
      <c r="AI11" s="15">
        <v>15</v>
      </c>
      <c r="AJ11" s="15">
        <v>25</v>
      </c>
      <c r="AK11" s="15">
        <v>11</v>
      </c>
      <c r="AL11">
        <f t="shared" si="3"/>
        <v>204</v>
      </c>
      <c r="AO11" t="str">
        <f t="shared" si="4"/>
        <v>حسين العثواني</v>
      </c>
      <c r="AP11" s="2">
        <f>'النصاب الكامل'!AM10</f>
        <v>4</v>
      </c>
      <c r="AQ11" s="2">
        <f>'النصاب الكامل'!AN10</f>
        <v>0</v>
      </c>
      <c r="AR11" s="2">
        <f>'النصاب الكامل'!AO10</f>
        <v>0</v>
      </c>
      <c r="AS11" s="2">
        <f>'النصاب الكامل'!AP10</f>
        <v>0</v>
      </c>
      <c r="AT11" s="2">
        <f>'النصاب الكامل'!AQ10</f>
        <v>0</v>
      </c>
      <c r="AU11" s="2">
        <f>'النصاب الكامل'!AR10</f>
        <v>0</v>
      </c>
      <c r="AV11" s="2">
        <f>'النصاب الكامل'!AS10</f>
        <v>0</v>
      </c>
      <c r="AW11" s="2">
        <f>'النصاب الكامل'!AT10</f>
        <v>0</v>
      </c>
      <c r="AX11" s="2">
        <f>'النصاب الكامل'!AU10</f>
        <v>4</v>
      </c>
      <c r="AY11" s="2">
        <f>'النصاب الكامل'!AV10</f>
        <v>4</v>
      </c>
      <c r="AZ11" s="2">
        <f>'النصاب الكامل'!AW10</f>
        <v>0</v>
      </c>
      <c r="BA11" s="2">
        <f>'النصاب الكامل'!AX10</f>
        <v>0</v>
      </c>
      <c r="BB11">
        <f t="shared" si="1"/>
        <v>4</v>
      </c>
      <c r="BC11">
        <f t="shared" si="1"/>
        <v>0</v>
      </c>
      <c r="BD11">
        <f t="shared" si="1"/>
        <v>0</v>
      </c>
      <c r="BE11">
        <f t="shared" si="1"/>
        <v>0</v>
      </c>
      <c r="BF11">
        <f t="shared" si="1"/>
        <v>0</v>
      </c>
      <c r="BG11">
        <f t="shared" si="1"/>
        <v>0</v>
      </c>
      <c r="BH11">
        <f t="shared" si="1"/>
        <v>0</v>
      </c>
      <c r="BI11">
        <f t="shared" si="1"/>
        <v>0</v>
      </c>
      <c r="BJ11">
        <f t="shared" si="1"/>
        <v>4</v>
      </c>
      <c r="BK11">
        <f t="shared" si="1"/>
        <v>4</v>
      </c>
      <c r="BL11">
        <f t="shared" si="1"/>
        <v>0</v>
      </c>
      <c r="BM11">
        <f t="shared" si="1"/>
        <v>0</v>
      </c>
      <c r="BN11" s="15" t="str">
        <f t="shared" si="5"/>
        <v/>
      </c>
      <c r="BO11" s="15" t="str">
        <f t="shared" si="6"/>
        <v/>
      </c>
      <c r="BP11" s="15" t="str">
        <f t="shared" si="7"/>
        <v/>
      </c>
      <c r="BQ11" s="15" t="str">
        <f t="shared" si="8"/>
        <v/>
      </c>
      <c r="BR11" s="15" t="str">
        <f t="shared" si="9"/>
        <v/>
      </c>
      <c r="BS11" s="15" t="str">
        <f t="shared" si="10"/>
        <v/>
      </c>
      <c r="BT11" s="15" t="str">
        <f t="shared" si="11"/>
        <v/>
      </c>
      <c r="BU11" s="15" t="str">
        <f t="shared" si="12"/>
        <v/>
      </c>
      <c r="BV11" s="15" t="str">
        <f t="shared" si="13"/>
        <v/>
      </c>
      <c r="BW11" s="15" t="str">
        <f t="shared" si="14"/>
        <v/>
      </c>
      <c r="BX11" s="15" t="str">
        <f t="shared" si="15"/>
        <v/>
      </c>
      <c r="BY11" s="16" t="str">
        <f t="shared" si="16"/>
        <v/>
      </c>
      <c r="BZ11">
        <f t="shared" si="17"/>
        <v>0</v>
      </c>
      <c r="CB11">
        <f t="shared" si="18"/>
        <v>8</v>
      </c>
      <c r="CC11">
        <f>IF(BS17="",0,BS17)</f>
        <v>0</v>
      </c>
    </row>
    <row r="12" spans="1:82" x14ac:dyDescent="0.45">
      <c r="A12" t="str">
        <f>'النصاب الكامل'!AL11</f>
        <v>احمد يحيى</v>
      </c>
      <c r="B12">
        <f>'النصاب الكامل'!AY11</f>
        <v>12</v>
      </c>
      <c r="C12" s="15"/>
      <c r="D12" s="15"/>
      <c r="E12" s="15"/>
      <c r="F12" s="15"/>
      <c r="G12" s="15"/>
      <c r="H12" s="15">
        <v>22</v>
      </c>
      <c r="I12" s="15">
        <v>22</v>
      </c>
      <c r="J12" s="15"/>
      <c r="K12" s="15"/>
      <c r="L12" s="15"/>
      <c r="M12" s="15"/>
      <c r="N12" s="15">
        <v>22</v>
      </c>
      <c r="O12" s="15">
        <v>12</v>
      </c>
      <c r="P12" s="15">
        <v>12</v>
      </c>
      <c r="Q12" s="15">
        <v>22</v>
      </c>
      <c r="R12" s="15">
        <v>12</v>
      </c>
      <c r="S12" s="15"/>
      <c r="T12" s="15"/>
      <c r="U12" s="15"/>
      <c r="V12" s="15"/>
      <c r="W12" s="15"/>
      <c r="X12" s="15">
        <v>12</v>
      </c>
      <c r="Y12" s="15"/>
      <c r="Z12" s="15"/>
      <c r="AA12" s="15"/>
      <c r="AB12" s="15"/>
      <c r="AC12" s="15"/>
      <c r="AD12" s="15"/>
      <c r="AE12" s="15"/>
      <c r="AF12" s="15"/>
      <c r="AG12" s="15">
        <v>12</v>
      </c>
      <c r="AH12" s="15">
        <v>12</v>
      </c>
      <c r="AI12" s="15">
        <v>22</v>
      </c>
      <c r="AJ12" s="15">
        <v>22</v>
      </c>
      <c r="AK12" s="15"/>
      <c r="AL12">
        <f t="shared" si="3"/>
        <v>204</v>
      </c>
      <c r="AO12" t="str">
        <f t="shared" si="4"/>
        <v>احمد يحيى</v>
      </c>
      <c r="AP12" s="2">
        <f>'النصاب الكامل'!AM11</f>
        <v>0</v>
      </c>
      <c r="AQ12" s="2">
        <f>'النصاب الكامل'!AN11</f>
        <v>0</v>
      </c>
      <c r="AR12" s="2">
        <f>'النصاب الكامل'!AO11</f>
        <v>6</v>
      </c>
      <c r="AS12" s="2">
        <f>'النصاب الكامل'!AP11</f>
        <v>6</v>
      </c>
      <c r="AT12" s="2">
        <f>'النصاب الكامل'!AQ11</f>
        <v>0</v>
      </c>
      <c r="AU12" s="2">
        <f>'النصاب الكامل'!AR11</f>
        <v>0</v>
      </c>
      <c r="AV12" s="2">
        <f>'النصاب الكامل'!AS11</f>
        <v>0</v>
      </c>
      <c r="AW12" s="2">
        <f>'النصاب الكامل'!AT11</f>
        <v>0</v>
      </c>
      <c r="AX12" s="2">
        <f>'النصاب الكامل'!AU11</f>
        <v>0</v>
      </c>
      <c r="AY12" s="2">
        <f>'النصاب الكامل'!AV11</f>
        <v>0</v>
      </c>
      <c r="AZ12" s="2">
        <f>'النصاب الكامل'!AW11</f>
        <v>0</v>
      </c>
      <c r="BA12" s="2">
        <f>'النصاب الكامل'!AX11</f>
        <v>0</v>
      </c>
      <c r="BB12">
        <f t="shared" si="1"/>
        <v>0</v>
      </c>
      <c r="BC12">
        <f t="shared" si="1"/>
        <v>0</v>
      </c>
      <c r="BD12">
        <f t="shared" si="1"/>
        <v>6</v>
      </c>
      <c r="BE12">
        <f t="shared" si="1"/>
        <v>6</v>
      </c>
      <c r="BF12">
        <f t="shared" si="1"/>
        <v>0</v>
      </c>
      <c r="BG12">
        <f t="shared" si="1"/>
        <v>0</v>
      </c>
      <c r="BH12">
        <f t="shared" si="1"/>
        <v>0</v>
      </c>
      <c r="BI12">
        <f t="shared" si="1"/>
        <v>0</v>
      </c>
      <c r="BJ12">
        <f t="shared" si="1"/>
        <v>0</v>
      </c>
      <c r="BK12">
        <f t="shared" si="1"/>
        <v>0</v>
      </c>
      <c r="BL12">
        <f t="shared" si="1"/>
        <v>0</v>
      </c>
      <c r="BM12">
        <f t="shared" si="1"/>
        <v>0</v>
      </c>
      <c r="BN12" s="15" t="str">
        <f t="shared" si="5"/>
        <v/>
      </c>
      <c r="BO12" s="15" t="str">
        <f t="shared" si="6"/>
        <v/>
      </c>
      <c r="BP12" s="15" t="str">
        <f t="shared" si="7"/>
        <v/>
      </c>
      <c r="BQ12" s="15" t="str">
        <f t="shared" si="8"/>
        <v/>
      </c>
      <c r="BR12" s="15" t="str">
        <f t="shared" si="9"/>
        <v/>
      </c>
      <c r="BS12" s="15" t="str">
        <f t="shared" si="10"/>
        <v/>
      </c>
      <c r="BT12" s="15" t="str">
        <f t="shared" si="11"/>
        <v/>
      </c>
      <c r="BU12" s="15" t="str">
        <f t="shared" si="12"/>
        <v/>
      </c>
      <c r="BV12" s="15" t="str">
        <f t="shared" si="13"/>
        <v/>
      </c>
      <c r="BW12" s="15" t="str">
        <f t="shared" si="14"/>
        <v/>
      </c>
      <c r="BX12" s="15" t="str">
        <f t="shared" si="15"/>
        <v/>
      </c>
      <c r="BY12" s="16" t="str">
        <f t="shared" si="16"/>
        <v/>
      </c>
      <c r="BZ12">
        <f t="shared" si="17"/>
        <v>0</v>
      </c>
      <c r="CB12">
        <f t="shared" si="18"/>
        <v>9</v>
      </c>
    </row>
    <row r="13" spans="1:82" x14ac:dyDescent="0.45">
      <c r="A13" t="str">
        <f>'النصاب الكامل'!AL12</f>
        <v>سالم حردان</v>
      </c>
      <c r="B13">
        <f>'النصاب الكامل'!AY12</f>
        <v>9</v>
      </c>
      <c r="C13" s="15">
        <v>11</v>
      </c>
      <c r="D13" s="2"/>
      <c r="E13" s="2"/>
      <c r="F13" s="2"/>
      <c r="G13" s="2"/>
      <c r="H13" s="16"/>
      <c r="I13" s="40"/>
      <c r="J13" s="17"/>
      <c r="K13" s="2"/>
      <c r="L13" s="2"/>
      <c r="M13" s="2">
        <v>12</v>
      </c>
      <c r="N13" s="2"/>
      <c r="O13" s="1">
        <v>11</v>
      </c>
      <c r="P13" s="40"/>
      <c r="Q13" s="15"/>
      <c r="R13" s="2"/>
      <c r="S13" s="2">
        <v>22</v>
      </c>
      <c r="T13" s="2"/>
      <c r="U13" s="2"/>
      <c r="V13" s="16"/>
      <c r="W13" s="40">
        <v>12</v>
      </c>
      <c r="X13" s="17"/>
      <c r="Y13" s="2"/>
      <c r="Z13" s="2"/>
      <c r="AA13" s="2">
        <v>12</v>
      </c>
      <c r="AB13" s="2">
        <v>11</v>
      </c>
      <c r="AC13" s="1">
        <v>22</v>
      </c>
      <c r="AD13" s="40"/>
      <c r="AE13" s="15">
        <v>22</v>
      </c>
      <c r="AF13" s="2"/>
      <c r="AG13" s="2"/>
      <c r="AH13" s="2"/>
      <c r="AI13" s="2"/>
      <c r="AJ13" s="1"/>
      <c r="AK13" s="16"/>
      <c r="AL13">
        <f t="shared" si="3"/>
        <v>135</v>
      </c>
      <c r="AO13" t="str">
        <f t="shared" si="4"/>
        <v>سالم حردان</v>
      </c>
      <c r="AP13" s="2">
        <f>'النصاب الكامل'!AM12</f>
        <v>3</v>
      </c>
      <c r="AQ13" s="2">
        <f>'النصاب الكامل'!AN12</f>
        <v>0</v>
      </c>
      <c r="AR13" s="2">
        <f>'النصاب الكامل'!AO12</f>
        <v>3</v>
      </c>
      <c r="AS13" s="2">
        <f>'النصاب الكامل'!AP12</f>
        <v>3</v>
      </c>
      <c r="AT13" s="2">
        <f>'النصاب الكامل'!AQ12</f>
        <v>0</v>
      </c>
      <c r="AU13" s="2">
        <f>'النصاب الكامل'!AR12</f>
        <v>0</v>
      </c>
      <c r="AV13" s="2">
        <f>'النصاب الكامل'!AS12</f>
        <v>0</v>
      </c>
      <c r="AW13" s="2">
        <f>'النصاب الكامل'!AT12</f>
        <v>0</v>
      </c>
      <c r="AX13" s="2">
        <f>'النصاب الكامل'!AU12</f>
        <v>0</v>
      </c>
      <c r="AY13" s="2">
        <f>'النصاب الكامل'!AV12</f>
        <v>0</v>
      </c>
      <c r="AZ13" s="2">
        <f>'النصاب الكامل'!AW12</f>
        <v>0</v>
      </c>
      <c r="BA13" s="2">
        <f>'النصاب الكامل'!AX12</f>
        <v>0</v>
      </c>
      <c r="BB13">
        <f t="shared" si="1"/>
        <v>3</v>
      </c>
      <c r="BC13">
        <f t="shared" si="1"/>
        <v>0</v>
      </c>
      <c r="BD13">
        <f t="shared" si="1"/>
        <v>3</v>
      </c>
      <c r="BE13">
        <f t="shared" si="1"/>
        <v>3</v>
      </c>
      <c r="BF13">
        <f t="shared" si="1"/>
        <v>0</v>
      </c>
      <c r="BG13">
        <f t="shared" si="1"/>
        <v>0</v>
      </c>
      <c r="BH13">
        <f t="shared" si="1"/>
        <v>0</v>
      </c>
      <c r="BI13">
        <f t="shared" si="1"/>
        <v>0</v>
      </c>
      <c r="BJ13">
        <f t="shared" si="1"/>
        <v>0</v>
      </c>
      <c r="BK13">
        <f t="shared" si="1"/>
        <v>0</v>
      </c>
      <c r="BL13">
        <f t="shared" si="1"/>
        <v>0</v>
      </c>
      <c r="BM13">
        <f t="shared" si="1"/>
        <v>0</v>
      </c>
      <c r="BN13" s="15" t="str">
        <f t="shared" si="5"/>
        <v/>
      </c>
      <c r="BO13" s="15" t="str">
        <f t="shared" si="6"/>
        <v/>
      </c>
      <c r="BP13" s="15" t="str">
        <f t="shared" si="7"/>
        <v/>
      </c>
      <c r="BQ13" s="15" t="str">
        <f t="shared" si="8"/>
        <v/>
      </c>
      <c r="BR13" s="15" t="str">
        <f t="shared" si="9"/>
        <v/>
      </c>
      <c r="BS13" s="15" t="str">
        <f t="shared" si="10"/>
        <v/>
      </c>
      <c r="BT13" s="15" t="str">
        <f t="shared" si="11"/>
        <v/>
      </c>
      <c r="BU13" s="15" t="str">
        <f t="shared" si="12"/>
        <v/>
      </c>
      <c r="BV13" s="15" t="str">
        <f t="shared" si="13"/>
        <v/>
      </c>
      <c r="BW13" s="15" t="str">
        <f t="shared" si="14"/>
        <v/>
      </c>
      <c r="BX13" s="15" t="str">
        <f t="shared" si="15"/>
        <v/>
      </c>
      <c r="BY13" s="16" t="str">
        <f t="shared" si="16"/>
        <v/>
      </c>
      <c r="BZ13">
        <f t="shared" si="17"/>
        <v>0</v>
      </c>
      <c r="CB13">
        <f t="shared" si="18"/>
        <v>10</v>
      </c>
    </row>
    <row r="14" spans="1:82" x14ac:dyDescent="0.45">
      <c r="A14" t="str">
        <f>'النصاب الكامل'!AL13</f>
        <v>الفيدلي</v>
      </c>
      <c r="B14">
        <f>'النصاب الكامل'!AY13</f>
        <v>10</v>
      </c>
      <c r="C14" s="15"/>
      <c r="D14" s="15"/>
      <c r="E14" s="15"/>
      <c r="F14" s="15">
        <v>22</v>
      </c>
      <c r="G14" s="15"/>
      <c r="H14" s="15">
        <v>12</v>
      </c>
      <c r="I14" s="15"/>
      <c r="J14" s="15"/>
      <c r="K14" s="15"/>
      <c r="L14" s="15">
        <v>11</v>
      </c>
      <c r="M14" s="15"/>
      <c r="N14" s="15"/>
      <c r="O14" s="15"/>
      <c r="P14" s="15"/>
      <c r="Q14" s="15"/>
      <c r="R14" s="15"/>
      <c r="S14" s="15">
        <v>11</v>
      </c>
      <c r="T14" s="15"/>
      <c r="U14" s="15"/>
      <c r="V14" s="15"/>
      <c r="W14" s="15"/>
      <c r="X14" s="15">
        <v>22</v>
      </c>
      <c r="Y14" s="15">
        <v>12</v>
      </c>
      <c r="Z14" s="15"/>
      <c r="AA14" s="15"/>
      <c r="AB14" s="15"/>
      <c r="AC14" s="15"/>
      <c r="AD14" s="15"/>
      <c r="AE14" s="15"/>
      <c r="AF14" s="15"/>
      <c r="AG14" s="15"/>
      <c r="AH14" s="15">
        <v>23</v>
      </c>
      <c r="AI14" s="15">
        <v>23</v>
      </c>
      <c r="AJ14" s="15">
        <v>13</v>
      </c>
      <c r="AK14" s="15">
        <v>13</v>
      </c>
      <c r="AL14">
        <f t="shared" si="3"/>
        <v>162</v>
      </c>
      <c r="AO14" t="str">
        <f t="shared" si="4"/>
        <v>الفيدلي</v>
      </c>
      <c r="AP14" s="2">
        <f>'النصاب الكامل'!AM13</f>
        <v>2</v>
      </c>
      <c r="AQ14" s="2">
        <f>'النصاب الكامل'!AN13</f>
        <v>0</v>
      </c>
      <c r="AR14" s="2">
        <f>'النصاب الكامل'!AO13</f>
        <v>2</v>
      </c>
      <c r="AS14" s="2">
        <f>'النصاب الكامل'!AP13</f>
        <v>2</v>
      </c>
      <c r="AT14" s="2">
        <f>'النصاب الكامل'!AQ13</f>
        <v>2</v>
      </c>
      <c r="AU14" s="2">
        <f>'النصاب الكامل'!AR13</f>
        <v>2</v>
      </c>
      <c r="AV14" s="2">
        <f>'النصاب الكامل'!AS13</f>
        <v>0</v>
      </c>
      <c r="AW14" s="2">
        <f>'النصاب الكامل'!AT13</f>
        <v>0</v>
      </c>
      <c r="AX14" s="2">
        <f>'النصاب الكامل'!AU13</f>
        <v>0</v>
      </c>
      <c r="AY14" s="2">
        <f>'النصاب الكامل'!AV13</f>
        <v>0</v>
      </c>
      <c r="AZ14" s="2">
        <f>'النصاب الكامل'!AW13</f>
        <v>0</v>
      </c>
      <c r="BA14" s="2">
        <f>'النصاب الكامل'!AX13</f>
        <v>0</v>
      </c>
      <c r="BB14">
        <f t="shared" ref="BB14:BM23" si="19">COUNTIF($C14:$AK14,BB$3)</f>
        <v>2</v>
      </c>
      <c r="BC14">
        <f t="shared" si="19"/>
        <v>0</v>
      </c>
      <c r="BD14">
        <f t="shared" si="19"/>
        <v>2</v>
      </c>
      <c r="BE14">
        <f t="shared" si="19"/>
        <v>2</v>
      </c>
      <c r="BF14">
        <f t="shared" si="19"/>
        <v>2</v>
      </c>
      <c r="BG14">
        <f t="shared" si="19"/>
        <v>2</v>
      </c>
      <c r="BH14">
        <f t="shared" si="19"/>
        <v>0</v>
      </c>
      <c r="BI14">
        <f t="shared" si="19"/>
        <v>0</v>
      </c>
      <c r="BJ14">
        <f t="shared" si="19"/>
        <v>0</v>
      </c>
      <c r="BK14">
        <f t="shared" si="19"/>
        <v>0</v>
      </c>
      <c r="BL14">
        <f t="shared" si="19"/>
        <v>0</v>
      </c>
      <c r="BM14">
        <f t="shared" si="19"/>
        <v>0</v>
      </c>
      <c r="BN14" s="15" t="str">
        <f t="shared" si="5"/>
        <v/>
      </c>
      <c r="BO14" s="15" t="str">
        <f t="shared" si="6"/>
        <v/>
      </c>
      <c r="BP14" s="15" t="str">
        <f t="shared" si="7"/>
        <v/>
      </c>
      <c r="BQ14" s="15" t="str">
        <f t="shared" si="8"/>
        <v/>
      </c>
      <c r="BR14" s="15" t="str">
        <f t="shared" si="9"/>
        <v/>
      </c>
      <c r="BS14" s="15" t="str">
        <f t="shared" si="10"/>
        <v/>
      </c>
      <c r="BT14" s="15" t="str">
        <f t="shared" si="11"/>
        <v/>
      </c>
      <c r="BU14" s="15" t="str">
        <f t="shared" si="12"/>
        <v/>
      </c>
      <c r="BV14" s="15" t="str">
        <f t="shared" si="13"/>
        <v/>
      </c>
      <c r="BW14" s="15" t="str">
        <f t="shared" si="14"/>
        <v/>
      </c>
      <c r="BX14" s="15" t="str">
        <f t="shared" si="15"/>
        <v/>
      </c>
      <c r="BY14" s="16" t="str">
        <f t="shared" si="16"/>
        <v/>
      </c>
      <c r="BZ14">
        <f t="shared" si="17"/>
        <v>0</v>
      </c>
      <c r="CB14">
        <f t="shared" si="18"/>
        <v>11</v>
      </c>
    </row>
    <row r="15" spans="1:82" x14ac:dyDescent="0.45">
      <c r="A15" t="str">
        <f>'النصاب الكامل'!AL14</f>
        <v>يحيى العزي</v>
      </c>
      <c r="B15">
        <f>'النصاب الكامل'!AY14</f>
        <v>18</v>
      </c>
      <c r="C15" s="15">
        <v>23</v>
      </c>
      <c r="D15" s="15">
        <v>13</v>
      </c>
      <c r="E15" s="15"/>
      <c r="F15" s="15"/>
      <c r="G15" s="15"/>
      <c r="H15" s="15">
        <v>14</v>
      </c>
      <c r="I15" s="15">
        <v>24</v>
      </c>
      <c r="J15" s="15"/>
      <c r="K15" s="15"/>
      <c r="L15" s="15">
        <v>13</v>
      </c>
      <c r="M15" s="15">
        <v>24</v>
      </c>
      <c r="N15" s="15">
        <v>23</v>
      </c>
      <c r="O15" s="15">
        <v>14</v>
      </c>
      <c r="P15" s="15"/>
      <c r="Q15" s="15">
        <v>13</v>
      </c>
      <c r="R15" s="15"/>
      <c r="S15" s="15"/>
      <c r="T15" s="15">
        <v>14</v>
      </c>
      <c r="U15" s="15">
        <v>24</v>
      </c>
      <c r="V15" s="15">
        <v>13</v>
      </c>
      <c r="W15" s="15">
        <v>23</v>
      </c>
      <c r="X15" s="15">
        <v>14</v>
      </c>
      <c r="Y15" s="15">
        <v>23</v>
      </c>
      <c r="Z15" s="15">
        <v>24</v>
      </c>
      <c r="AA15" s="15"/>
      <c r="AB15" s="15"/>
      <c r="AC15" s="15"/>
      <c r="AD15" s="15"/>
      <c r="AE15" s="15">
        <v>14</v>
      </c>
      <c r="AF15" s="15">
        <v>24</v>
      </c>
      <c r="AG15" s="15"/>
      <c r="AH15" s="15"/>
      <c r="AI15" s="15"/>
      <c r="AJ15" s="15"/>
      <c r="AK15" s="15"/>
      <c r="AL15">
        <f t="shared" si="3"/>
        <v>334</v>
      </c>
      <c r="AO15" t="str">
        <f t="shared" si="4"/>
        <v>يحيى العزي</v>
      </c>
      <c r="AP15" s="2">
        <f>'النصاب الكامل'!AM14</f>
        <v>0</v>
      </c>
      <c r="AQ15" s="2">
        <f>'النصاب الكامل'!AN14</f>
        <v>0</v>
      </c>
      <c r="AR15" s="2">
        <f>'النصاب الكامل'!AO14</f>
        <v>0</v>
      </c>
      <c r="AS15" s="2">
        <f>'النصاب الكامل'!AP14</f>
        <v>0</v>
      </c>
      <c r="AT15" s="2">
        <f>'النصاب الكامل'!AQ14</f>
        <v>4</v>
      </c>
      <c r="AU15" s="2">
        <f>'النصاب الكامل'!AR14</f>
        <v>4</v>
      </c>
      <c r="AV15" s="2">
        <f>'النصاب الكامل'!AS14</f>
        <v>5</v>
      </c>
      <c r="AW15" s="2">
        <f>'النصاب الكامل'!AT14</f>
        <v>5</v>
      </c>
      <c r="AX15" s="2">
        <f>'النصاب الكامل'!AU14</f>
        <v>0</v>
      </c>
      <c r="AY15" s="2">
        <f>'النصاب الكامل'!AV14</f>
        <v>0</v>
      </c>
      <c r="AZ15" s="2">
        <f>'النصاب الكامل'!AW14</f>
        <v>0</v>
      </c>
      <c r="BA15" s="2">
        <f>'النصاب الكامل'!AX14</f>
        <v>0</v>
      </c>
      <c r="BB15">
        <f t="shared" si="19"/>
        <v>0</v>
      </c>
      <c r="BC15">
        <f t="shared" si="19"/>
        <v>0</v>
      </c>
      <c r="BD15">
        <f t="shared" si="19"/>
        <v>0</v>
      </c>
      <c r="BE15">
        <f t="shared" si="19"/>
        <v>0</v>
      </c>
      <c r="BF15">
        <f t="shared" si="19"/>
        <v>4</v>
      </c>
      <c r="BG15">
        <f t="shared" si="19"/>
        <v>4</v>
      </c>
      <c r="BH15">
        <f t="shared" si="19"/>
        <v>5</v>
      </c>
      <c r="BI15">
        <f t="shared" si="19"/>
        <v>5</v>
      </c>
      <c r="BJ15">
        <f t="shared" si="19"/>
        <v>0</v>
      </c>
      <c r="BK15">
        <f t="shared" si="19"/>
        <v>0</v>
      </c>
      <c r="BL15">
        <f t="shared" si="19"/>
        <v>0</v>
      </c>
      <c r="BM15">
        <f t="shared" si="19"/>
        <v>0</v>
      </c>
      <c r="BN15" s="15" t="str">
        <f t="shared" si="5"/>
        <v/>
      </c>
      <c r="BO15" s="15" t="str">
        <f t="shared" si="6"/>
        <v/>
      </c>
      <c r="BP15" s="15" t="str">
        <f t="shared" si="7"/>
        <v/>
      </c>
      <c r="BQ15" s="15" t="str">
        <f t="shared" si="8"/>
        <v/>
      </c>
      <c r="BR15" s="15" t="str">
        <f t="shared" si="9"/>
        <v/>
      </c>
      <c r="BS15" s="15" t="str">
        <f t="shared" si="10"/>
        <v/>
      </c>
      <c r="BT15" s="15" t="str">
        <f t="shared" si="11"/>
        <v/>
      </c>
      <c r="BU15" s="15" t="str">
        <f t="shared" si="12"/>
        <v/>
      </c>
      <c r="BV15" s="15" t="str">
        <f t="shared" si="13"/>
        <v/>
      </c>
      <c r="BW15" s="15" t="str">
        <f t="shared" si="14"/>
        <v/>
      </c>
      <c r="BX15" s="15" t="str">
        <f t="shared" si="15"/>
        <v/>
      </c>
      <c r="BY15" s="16" t="str">
        <f t="shared" si="16"/>
        <v/>
      </c>
      <c r="BZ15">
        <f t="shared" si="17"/>
        <v>0</v>
      </c>
      <c r="CB15">
        <f t="shared" si="18"/>
        <v>12</v>
      </c>
    </row>
    <row r="16" spans="1:82" x14ac:dyDescent="0.45">
      <c r="A16" t="str">
        <f>'النصاب الكامل'!AL15</f>
        <v>جبران علي</v>
      </c>
      <c r="B16">
        <f>'النصاب الكامل'!AY15</f>
        <v>16</v>
      </c>
      <c r="C16" s="15"/>
      <c r="D16" s="15"/>
      <c r="E16" s="15">
        <v>13</v>
      </c>
      <c r="F16" s="15">
        <v>13</v>
      </c>
      <c r="G16" s="15">
        <v>14</v>
      </c>
      <c r="H16" s="15">
        <v>24</v>
      </c>
      <c r="I16" s="15">
        <v>14</v>
      </c>
      <c r="J16" s="15">
        <v>13</v>
      </c>
      <c r="K16" s="15">
        <v>14</v>
      </c>
      <c r="L16" s="15">
        <v>24</v>
      </c>
      <c r="M16" s="15"/>
      <c r="N16" s="15"/>
      <c r="O16" s="15"/>
      <c r="P16" s="15"/>
      <c r="Q16" s="15"/>
      <c r="R16" s="15"/>
      <c r="S16" s="15"/>
      <c r="T16" s="15"/>
      <c r="U16" s="15">
        <v>14</v>
      </c>
      <c r="V16" s="15">
        <v>24</v>
      </c>
      <c r="W16" s="15">
        <v>13</v>
      </c>
      <c r="X16" s="15">
        <v>24</v>
      </c>
      <c r="Y16" s="15"/>
      <c r="Z16" s="15"/>
      <c r="AA16" s="15"/>
      <c r="AB16" s="15"/>
      <c r="AC16" s="15"/>
      <c r="AD16" s="15"/>
      <c r="AE16" s="15"/>
      <c r="AF16" s="15"/>
      <c r="AG16" s="15">
        <v>13</v>
      </c>
      <c r="AH16" s="15">
        <v>13</v>
      </c>
      <c r="AI16" s="15">
        <v>14</v>
      </c>
      <c r="AJ16" s="15">
        <v>24</v>
      </c>
      <c r="AK16" s="15"/>
      <c r="AL16">
        <f t="shared" si="3"/>
        <v>268</v>
      </c>
      <c r="AO16" t="str">
        <f t="shared" si="4"/>
        <v>جبران علي</v>
      </c>
      <c r="AP16" s="2">
        <f>'النصاب الكامل'!AM15</f>
        <v>0</v>
      </c>
      <c r="AQ16" s="2">
        <f>'النصاب الكامل'!AN15</f>
        <v>0</v>
      </c>
      <c r="AR16" s="2">
        <f>'النصاب الكامل'!AO15</f>
        <v>0</v>
      </c>
      <c r="AS16" s="2">
        <f>'النصاب الكامل'!AP15</f>
        <v>0</v>
      </c>
      <c r="AT16" s="2">
        <f>'النصاب الكامل'!AQ15</f>
        <v>6</v>
      </c>
      <c r="AU16" s="2">
        <f>'النصاب الكامل'!AR15</f>
        <v>0</v>
      </c>
      <c r="AV16" s="2">
        <f>'النصاب الكامل'!AS15</f>
        <v>5</v>
      </c>
      <c r="AW16" s="2">
        <f>'النصاب الكامل'!AT15</f>
        <v>5</v>
      </c>
      <c r="AX16" s="2">
        <f>'النصاب الكامل'!AU15</f>
        <v>0</v>
      </c>
      <c r="AY16" s="2">
        <f>'النصاب الكامل'!AV15</f>
        <v>0</v>
      </c>
      <c r="AZ16" s="2">
        <f>'النصاب الكامل'!AW15</f>
        <v>0</v>
      </c>
      <c r="BA16" s="2">
        <f>'النصاب الكامل'!AX15</f>
        <v>0</v>
      </c>
      <c r="BB16">
        <f t="shared" si="19"/>
        <v>0</v>
      </c>
      <c r="BC16">
        <f t="shared" si="19"/>
        <v>0</v>
      </c>
      <c r="BD16">
        <f t="shared" si="19"/>
        <v>0</v>
      </c>
      <c r="BE16">
        <f t="shared" si="19"/>
        <v>0</v>
      </c>
      <c r="BF16">
        <f t="shared" si="19"/>
        <v>6</v>
      </c>
      <c r="BG16">
        <f t="shared" si="19"/>
        <v>0</v>
      </c>
      <c r="BH16">
        <f t="shared" si="19"/>
        <v>5</v>
      </c>
      <c r="BI16">
        <f t="shared" si="19"/>
        <v>5</v>
      </c>
      <c r="BJ16">
        <f t="shared" si="19"/>
        <v>0</v>
      </c>
      <c r="BK16">
        <f t="shared" si="19"/>
        <v>0</v>
      </c>
      <c r="BL16">
        <f t="shared" si="19"/>
        <v>0</v>
      </c>
      <c r="BM16">
        <f t="shared" si="19"/>
        <v>0</v>
      </c>
      <c r="BN16" s="15" t="str">
        <f t="shared" si="5"/>
        <v/>
      </c>
      <c r="BO16" s="15" t="str">
        <f t="shared" si="6"/>
        <v/>
      </c>
      <c r="BP16" s="15" t="str">
        <f t="shared" si="7"/>
        <v/>
      </c>
      <c r="BQ16" s="15" t="str">
        <f t="shared" si="8"/>
        <v/>
      </c>
      <c r="BR16" s="15" t="str">
        <f t="shared" si="9"/>
        <v/>
      </c>
      <c r="BS16" s="15" t="str">
        <f t="shared" si="10"/>
        <v/>
      </c>
      <c r="BT16" s="15" t="str">
        <f t="shared" si="11"/>
        <v/>
      </c>
      <c r="BU16" s="15" t="str">
        <f t="shared" si="12"/>
        <v/>
      </c>
      <c r="BV16" s="15" t="str">
        <f t="shared" si="13"/>
        <v/>
      </c>
      <c r="BW16" s="15" t="str">
        <f t="shared" si="14"/>
        <v/>
      </c>
      <c r="BX16" s="15" t="str">
        <f t="shared" si="15"/>
        <v/>
      </c>
      <c r="BY16" s="16" t="str">
        <f t="shared" si="16"/>
        <v/>
      </c>
      <c r="BZ16">
        <f t="shared" si="17"/>
        <v>0</v>
      </c>
      <c r="CB16">
        <f t="shared" si="18"/>
        <v>13</v>
      </c>
    </row>
    <row r="17" spans="1:81" x14ac:dyDescent="0.45">
      <c r="A17" t="str">
        <f>'النصاب الكامل'!AL16</f>
        <v>يحيى احمد</v>
      </c>
      <c r="B17">
        <f>'النصاب الكامل'!AY16</f>
        <v>11</v>
      </c>
      <c r="C17" s="15"/>
      <c r="D17" s="2">
        <v>12</v>
      </c>
      <c r="E17" s="31"/>
      <c r="F17" s="2">
        <v>14</v>
      </c>
      <c r="G17" s="2">
        <v>16</v>
      </c>
      <c r="H17" s="16"/>
      <c r="I17" s="37"/>
      <c r="J17" s="17">
        <v>14</v>
      </c>
      <c r="K17" s="2"/>
      <c r="L17" s="32"/>
      <c r="M17" s="32"/>
      <c r="N17" s="32"/>
      <c r="O17" s="33"/>
      <c r="P17" s="38"/>
      <c r="Q17" s="15"/>
      <c r="R17" s="2">
        <v>13</v>
      </c>
      <c r="S17" s="31"/>
      <c r="T17" s="2"/>
      <c r="U17" s="2">
        <v>16</v>
      </c>
      <c r="V17" s="16"/>
      <c r="W17" s="37"/>
      <c r="X17" s="17">
        <v>11</v>
      </c>
      <c r="Y17" s="2"/>
      <c r="Z17" s="31"/>
      <c r="AA17" s="2">
        <v>13</v>
      </c>
      <c r="AB17" s="2">
        <v>16</v>
      </c>
      <c r="AC17" s="1"/>
      <c r="AD17" s="37"/>
      <c r="AE17" s="15">
        <v>11</v>
      </c>
      <c r="AF17" s="15">
        <v>12</v>
      </c>
      <c r="AG17" s="32"/>
      <c r="AH17" s="32"/>
      <c r="AI17" s="32"/>
      <c r="AJ17" s="33"/>
      <c r="AK17" s="34"/>
      <c r="AL17">
        <f t="shared" si="3"/>
        <v>148</v>
      </c>
      <c r="AO17" t="str">
        <f t="shared" si="4"/>
        <v>يحيى احمد</v>
      </c>
      <c r="AP17" s="2">
        <f>'النصاب الكامل'!AM16</f>
        <v>2</v>
      </c>
      <c r="AQ17" s="2">
        <f>'النصاب الكامل'!AN16</f>
        <v>0</v>
      </c>
      <c r="AR17" s="2">
        <f>'النصاب الكامل'!AO16</f>
        <v>2</v>
      </c>
      <c r="AS17" s="2">
        <f>'النصاب الكامل'!AP16</f>
        <v>0</v>
      </c>
      <c r="AT17" s="2">
        <f>'النصاب الكامل'!AQ16</f>
        <v>2</v>
      </c>
      <c r="AU17" s="2">
        <f>'النصاب الكامل'!AR16</f>
        <v>0</v>
      </c>
      <c r="AV17" s="2">
        <f>'النصاب الكامل'!AS16</f>
        <v>2</v>
      </c>
      <c r="AW17" s="2">
        <f>'النصاب الكامل'!AT16</f>
        <v>0</v>
      </c>
      <c r="AX17" s="2">
        <f>'النصاب الكامل'!AU16</f>
        <v>0</v>
      </c>
      <c r="AY17" s="2">
        <f>'النصاب الكامل'!AV16</f>
        <v>0</v>
      </c>
      <c r="AZ17" s="2">
        <f>'النصاب الكامل'!AW16</f>
        <v>3</v>
      </c>
      <c r="BA17" s="2">
        <f>'النصاب الكامل'!AX16</f>
        <v>0</v>
      </c>
      <c r="BB17">
        <f t="shared" si="19"/>
        <v>2</v>
      </c>
      <c r="BC17">
        <f t="shared" si="19"/>
        <v>0</v>
      </c>
      <c r="BD17">
        <f t="shared" si="19"/>
        <v>2</v>
      </c>
      <c r="BE17">
        <f t="shared" si="19"/>
        <v>0</v>
      </c>
      <c r="BF17">
        <f t="shared" si="19"/>
        <v>2</v>
      </c>
      <c r="BG17">
        <f t="shared" si="19"/>
        <v>0</v>
      </c>
      <c r="BH17">
        <f t="shared" si="19"/>
        <v>2</v>
      </c>
      <c r="BI17">
        <f t="shared" si="19"/>
        <v>0</v>
      </c>
      <c r="BJ17">
        <f t="shared" si="19"/>
        <v>0</v>
      </c>
      <c r="BK17">
        <f t="shared" si="19"/>
        <v>0</v>
      </c>
      <c r="BL17">
        <f t="shared" si="19"/>
        <v>3</v>
      </c>
      <c r="BM17">
        <f t="shared" si="19"/>
        <v>0</v>
      </c>
      <c r="BN17" s="19" t="str">
        <f t="shared" si="5"/>
        <v/>
      </c>
      <c r="BO17" s="15" t="str">
        <f t="shared" si="6"/>
        <v/>
      </c>
      <c r="BP17" s="19" t="str">
        <f t="shared" si="7"/>
        <v/>
      </c>
      <c r="BQ17" s="15" t="str">
        <f t="shared" si="8"/>
        <v/>
      </c>
      <c r="BR17" s="19" t="str">
        <f t="shared" si="9"/>
        <v/>
      </c>
      <c r="BS17" s="15" t="str">
        <f t="shared" si="10"/>
        <v/>
      </c>
      <c r="BT17" s="19" t="str">
        <f t="shared" si="11"/>
        <v/>
      </c>
      <c r="BU17" s="15" t="str">
        <f t="shared" si="12"/>
        <v/>
      </c>
      <c r="BV17" s="19" t="str">
        <f t="shared" si="13"/>
        <v/>
      </c>
      <c r="BW17" s="15" t="str">
        <f t="shared" si="14"/>
        <v/>
      </c>
      <c r="BX17" s="19" t="str">
        <f t="shared" si="15"/>
        <v/>
      </c>
      <c r="BY17" s="16" t="str">
        <f t="shared" si="16"/>
        <v/>
      </c>
      <c r="BZ17">
        <f t="shared" si="17"/>
        <v>0</v>
      </c>
      <c r="CB17">
        <f t="shared" si="18"/>
        <v>14</v>
      </c>
      <c r="CC17" s="2"/>
    </row>
    <row r="18" spans="1:81" x14ac:dyDescent="0.45">
      <c r="A18" t="str">
        <f>'النصاب الكامل'!AL17</f>
        <v>أبو محمد</v>
      </c>
      <c r="B18">
        <f>'النصاب الكامل'!AY17</f>
        <v>9</v>
      </c>
      <c r="C18" s="15"/>
      <c r="D18" s="2">
        <v>22</v>
      </c>
      <c r="E18" s="31"/>
      <c r="F18" s="2">
        <v>24</v>
      </c>
      <c r="G18" s="2">
        <v>26</v>
      </c>
      <c r="H18" s="16"/>
      <c r="I18" s="37"/>
      <c r="J18" s="17">
        <v>24</v>
      </c>
      <c r="K18" s="2"/>
      <c r="L18" s="32"/>
      <c r="M18" s="32"/>
      <c r="N18" s="32"/>
      <c r="O18" s="33"/>
      <c r="P18" s="38"/>
      <c r="Q18" s="15"/>
      <c r="R18" s="2">
        <v>23</v>
      </c>
      <c r="S18" s="31"/>
      <c r="T18" s="2"/>
      <c r="U18" s="2">
        <v>26</v>
      </c>
      <c r="V18" s="16"/>
      <c r="W18" s="37"/>
      <c r="X18" s="17"/>
      <c r="Y18" s="2"/>
      <c r="Z18" s="31"/>
      <c r="AA18" s="2">
        <v>23</v>
      </c>
      <c r="AB18" s="2">
        <v>26</v>
      </c>
      <c r="AC18" s="1"/>
      <c r="AD18" s="37"/>
      <c r="AE18" s="15"/>
      <c r="AF18" s="17">
        <v>22</v>
      </c>
      <c r="AG18" s="32"/>
      <c r="AH18" s="32"/>
      <c r="AI18" s="32"/>
      <c r="AJ18" s="33"/>
      <c r="AK18" s="34"/>
      <c r="AL18">
        <f t="shared" ref="AL18:AL23" si="20">SUM(C18:AK18)</f>
        <v>216</v>
      </c>
      <c r="AO18" t="str">
        <f t="shared" ref="AO18:AO23" si="21">A18</f>
        <v>أبو محمد</v>
      </c>
      <c r="AP18" s="2">
        <f>'النصاب الكامل'!AM17</f>
        <v>0</v>
      </c>
      <c r="AQ18" s="2">
        <f>'النصاب الكامل'!AN17</f>
        <v>0</v>
      </c>
      <c r="AR18" s="2">
        <f>'النصاب الكامل'!AO17</f>
        <v>0</v>
      </c>
      <c r="AS18" s="2">
        <f>'النصاب الكامل'!AP17</f>
        <v>2</v>
      </c>
      <c r="AT18" s="2">
        <f>'النصاب الكامل'!AQ17</f>
        <v>0</v>
      </c>
      <c r="AU18" s="2">
        <f>'النصاب الكامل'!AR17</f>
        <v>2</v>
      </c>
      <c r="AV18" s="2">
        <f>'النصاب الكامل'!AS17</f>
        <v>0</v>
      </c>
      <c r="AW18" s="2">
        <f>'النصاب الكامل'!AT17</f>
        <v>2</v>
      </c>
      <c r="AX18" s="2">
        <f>'النصاب الكامل'!AU17</f>
        <v>0</v>
      </c>
      <c r="AY18" s="2">
        <f>'النصاب الكامل'!AV17</f>
        <v>0</v>
      </c>
      <c r="AZ18" s="2">
        <f>'النصاب الكامل'!AW17</f>
        <v>0</v>
      </c>
      <c r="BA18" s="2">
        <f>'النصاب الكامل'!AX17</f>
        <v>3</v>
      </c>
      <c r="BB18">
        <f t="shared" si="19"/>
        <v>0</v>
      </c>
      <c r="BC18">
        <f t="shared" si="19"/>
        <v>0</v>
      </c>
      <c r="BD18">
        <f t="shared" si="19"/>
        <v>0</v>
      </c>
      <c r="BE18">
        <f t="shared" si="19"/>
        <v>2</v>
      </c>
      <c r="BF18">
        <f t="shared" si="19"/>
        <v>0</v>
      </c>
      <c r="BG18">
        <f t="shared" si="19"/>
        <v>2</v>
      </c>
      <c r="BH18">
        <f t="shared" si="19"/>
        <v>0</v>
      </c>
      <c r="BI18">
        <f t="shared" si="19"/>
        <v>2</v>
      </c>
      <c r="BJ18">
        <f t="shared" si="19"/>
        <v>0</v>
      </c>
      <c r="BK18">
        <f t="shared" si="19"/>
        <v>0</v>
      </c>
      <c r="BL18">
        <f t="shared" si="19"/>
        <v>0</v>
      </c>
      <c r="BM18">
        <f t="shared" si="19"/>
        <v>3</v>
      </c>
      <c r="BN18" s="19" t="str">
        <f t="shared" ref="BN18:BN23" si="22">IF(AP18-BB18=0,"",AP18-BB18)</f>
        <v/>
      </c>
      <c r="BO18" s="15" t="str">
        <f t="shared" ref="BO18:BO23" si="23">IF(AQ18-BC18=0,"",AQ18-BC18)</f>
        <v/>
      </c>
      <c r="BP18" s="19" t="str">
        <f t="shared" ref="BP18:BP23" si="24">IF(AR18-BD18=0,"",AR18-BD18)</f>
        <v/>
      </c>
      <c r="BQ18" s="15" t="str">
        <f t="shared" ref="BQ18:BQ23" si="25">IF(AS18-BE18=0,"",AS18-BE18)</f>
        <v/>
      </c>
      <c r="BR18" s="19" t="str">
        <f t="shared" ref="BR18:BR23" si="26">IF(AT18-BF18=0,"",AT18-BF18)</f>
        <v/>
      </c>
      <c r="BS18" s="15" t="str">
        <f t="shared" ref="BS18:BS23" si="27">IF(AU18-BG18=0,"",AU18-BG18)</f>
        <v/>
      </c>
      <c r="BT18" s="19" t="str">
        <f t="shared" ref="BT18:BT23" si="28">IF(AV18-BH18=0,"",AV18-BH18)</f>
        <v/>
      </c>
      <c r="BU18" s="15" t="str">
        <f t="shared" ref="BU18:BU23" si="29">IF(AW18-BI18=0,"",AW18-BI18)</f>
        <v/>
      </c>
      <c r="BV18" s="19" t="str">
        <f t="shared" ref="BV18:BV23" si="30">IF(AX18-BJ18=0,"",AX18-BJ18)</f>
        <v/>
      </c>
      <c r="BW18" s="15" t="str">
        <f t="shared" ref="BW18:BW23" si="31">IF(AY18-BK18=0,"",AY18-BK18)</f>
        <v/>
      </c>
      <c r="BX18" s="19" t="str">
        <f t="shared" ref="BX18:BX23" si="32">IF(AZ18-BL18=0,"",AZ18-BL18)</f>
        <v/>
      </c>
      <c r="BY18" s="16" t="str">
        <f t="shared" ref="BY18:BY23" si="33">IF(BA18-BM18=0,"",BA18-BM18)</f>
        <v/>
      </c>
      <c r="BZ18">
        <f t="shared" ref="BZ18:BZ23" si="34">SUM(BN18:BY18)</f>
        <v>0</v>
      </c>
      <c r="CB18">
        <f t="shared" si="18"/>
        <v>15</v>
      </c>
      <c r="CC18" s="2"/>
    </row>
    <row r="19" spans="1:81" x14ac:dyDescent="0.45">
      <c r="A19" t="str">
        <f>'النصاب الكامل'!AL18</f>
        <v>ماهر</v>
      </c>
      <c r="B19">
        <f>'النصاب الكامل'!AY18</f>
        <v>20</v>
      </c>
      <c r="C19" s="15"/>
      <c r="D19" s="2"/>
      <c r="E19" s="2">
        <v>16</v>
      </c>
      <c r="F19" s="2">
        <v>26</v>
      </c>
      <c r="G19" s="2">
        <v>12</v>
      </c>
      <c r="H19" s="16">
        <v>11</v>
      </c>
      <c r="I19" s="40"/>
      <c r="J19" s="17">
        <v>22</v>
      </c>
      <c r="K19" s="2">
        <v>12</v>
      </c>
      <c r="L19" s="2"/>
      <c r="M19" s="2">
        <v>14</v>
      </c>
      <c r="N19" s="2">
        <v>24</v>
      </c>
      <c r="O19" s="1">
        <v>13</v>
      </c>
      <c r="P19" s="40"/>
      <c r="Q19" s="15"/>
      <c r="R19" s="2">
        <v>11</v>
      </c>
      <c r="S19" s="2"/>
      <c r="T19" s="2">
        <v>16</v>
      </c>
      <c r="U19" s="2">
        <v>23</v>
      </c>
      <c r="V19" s="16">
        <v>26</v>
      </c>
      <c r="W19" s="40"/>
      <c r="X19" s="17">
        <v>23</v>
      </c>
      <c r="Y19" s="2"/>
      <c r="Z19" s="2">
        <v>13</v>
      </c>
      <c r="AA19" s="2">
        <v>22</v>
      </c>
      <c r="AB19" s="2">
        <v>14</v>
      </c>
      <c r="AC19" s="1">
        <v>24</v>
      </c>
      <c r="AD19" s="40"/>
      <c r="AE19" s="15">
        <v>24</v>
      </c>
      <c r="AF19" s="2">
        <v>14</v>
      </c>
      <c r="AG19" s="2"/>
      <c r="AH19" s="2"/>
      <c r="AI19" s="2"/>
      <c r="AJ19" s="1"/>
      <c r="AK19" s="16"/>
      <c r="AL19">
        <f t="shared" si="20"/>
        <v>360</v>
      </c>
      <c r="AO19" t="str">
        <f t="shared" si="21"/>
        <v>ماهر</v>
      </c>
      <c r="AP19" s="2">
        <f>'النصاب الكامل'!AM18</f>
        <v>2</v>
      </c>
      <c r="AQ19" s="2">
        <f>'النصاب الكامل'!AN18</f>
        <v>0</v>
      </c>
      <c r="AR19" s="2">
        <f>'النصاب الكامل'!AO18</f>
        <v>2</v>
      </c>
      <c r="AS19" s="2">
        <f>'النصاب الكامل'!AP18</f>
        <v>2</v>
      </c>
      <c r="AT19" s="2">
        <f>'النصاب الكامل'!AQ18</f>
        <v>2</v>
      </c>
      <c r="AU19" s="2">
        <f>'النصاب الكامل'!AR18</f>
        <v>2</v>
      </c>
      <c r="AV19" s="2">
        <f>'النصاب الكامل'!AS18</f>
        <v>3</v>
      </c>
      <c r="AW19" s="2">
        <f>'النصاب الكامل'!AT18</f>
        <v>3</v>
      </c>
      <c r="AX19" s="2">
        <f>'النصاب الكامل'!AU18</f>
        <v>0</v>
      </c>
      <c r="AY19" s="2">
        <f>'النصاب الكامل'!AV18</f>
        <v>0</v>
      </c>
      <c r="AZ19" s="2">
        <f>'النصاب الكامل'!AW18</f>
        <v>2</v>
      </c>
      <c r="BA19" s="2">
        <f>'النصاب الكامل'!AX18</f>
        <v>2</v>
      </c>
      <c r="BB19">
        <f t="shared" si="19"/>
        <v>2</v>
      </c>
      <c r="BC19">
        <f t="shared" si="19"/>
        <v>0</v>
      </c>
      <c r="BD19">
        <f t="shared" si="19"/>
        <v>2</v>
      </c>
      <c r="BE19">
        <f t="shared" si="19"/>
        <v>2</v>
      </c>
      <c r="BF19">
        <f t="shared" si="19"/>
        <v>2</v>
      </c>
      <c r="BG19">
        <f t="shared" si="19"/>
        <v>2</v>
      </c>
      <c r="BH19">
        <f t="shared" si="19"/>
        <v>3</v>
      </c>
      <c r="BI19">
        <f t="shared" si="19"/>
        <v>3</v>
      </c>
      <c r="BJ19">
        <f t="shared" si="19"/>
        <v>0</v>
      </c>
      <c r="BK19">
        <f t="shared" si="19"/>
        <v>0</v>
      </c>
      <c r="BL19">
        <f t="shared" si="19"/>
        <v>2</v>
      </c>
      <c r="BM19">
        <f t="shared" si="19"/>
        <v>2</v>
      </c>
      <c r="BN19" s="15" t="str">
        <f t="shared" si="22"/>
        <v/>
      </c>
      <c r="BO19" s="15" t="str">
        <f t="shared" si="23"/>
        <v/>
      </c>
      <c r="BP19" s="15" t="str">
        <f t="shared" si="24"/>
        <v/>
      </c>
      <c r="BQ19" s="15" t="str">
        <f t="shared" si="25"/>
        <v/>
      </c>
      <c r="BR19" s="15" t="str">
        <f t="shared" si="26"/>
        <v/>
      </c>
      <c r="BS19" s="15" t="str">
        <f t="shared" si="27"/>
        <v/>
      </c>
      <c r="BT19" s="15" t="str">
        <f t="shared" si="28"/>
        <v/>
      </c>
      <c r="BU19" s="15" t="str">
        <f t="shared" si="29"/>
        <v/>
      </c>
      <c r="BV19" s="15" t="str">
        <f t="shared" si="30"/>
        <v/>
      </c>
      <c r="BW19" s="15" t="str">
        <f t="shared" si="31"/>
        <v/>
      </c>
      <c r="BX19" s="15" t="str">
        <f t="shared" si="32"/>
        <v/>
      </c>
      <c r="BY19" s="16" t="str">
        <f t="shared" si="33"/>
        <v/>
      </c>
      <c r="BZ19">
        <f t="shared" si="34"/>
        <v>0</v>
      </c>
      <c r="CB19">
        <f t="shared" si="18"/>
        <v>16</v>
      </c>
      <c r="CC19" s="2"/>
    </row>
    <row r="20" spans="1:81" x14ac:dyDescent="0.45">
      <c r="A20" t="str">
        <f>'النصاب الكامل'!AL19</f>
        <v>محمد علي</v>
      </c>
      <c r="B20">
        <f>'النصاب الكامل'!AY19</f>
        <v>0</v>
      </c>
      <c r="C20" s="15"/>
      <c r="D20" s="2"/>
      <c r="E20" s="2"/>
      <c r="F20" s="2"/>
      <c r="G20" s="2"/>
      <c r="H20" s="16"/>
      <c r="I20" s="37"/>
      <c r="J20" s="17"/>
      <c r="K20" s="2"/>
      <c r="L20" s="2"/>
      <c r="M20" s="2"/>
      <c r="N20" s="2"/>
      <c r="O20" s="1"/>
      <c r="P20" s="37"/>
      <c r="Q20" s="15"/>
      <c r="R20" s="2"/>
      <c r="S20" s="2"/>
      <c r="T20" s="2"/>
      <c r="U20" s="2"/>
      <c r="V20" s="16"/>
      <c r="W20" s="37"/>
      <c r="X20" s="17"/>
      <c r="Y20" s="2"/>
      <c r="Z20" s="2"/>
      <c r="AA20" s="2"/>
      <c r="AB20" s="2"/>
      <c r="AC20" s="1"/>
      <c r="AD20" s="37"/>
      <c r="AE20" s="15"/>
      <c r="AF20" s="2"/>
      <c r="AG20" s="2"/>
      <c r="AH20" s="2"/>
      <c r="AI20" s="2"/>
      <c r="AJ20" s="1"/>
      <c r="AK20" s="16"/>
      <c r="AL20">
        <f t="shared" si="20"/>
        <v>0</v>
      </c>
      <c r="AO20" t="str">
        <f t="shared" si="21"/>
        <v>محمد علي</v>
      </c>
      <c r="AP20" s="2">
        <f>'النصاب الكامل'!AM19</f>
        <v>0</v>
      </c>
      <c r="AQ20" s="2">
        <f>'النصاب الكامل'!AN19</f>
        <v>0</v>
      </c>
      <c r="AR20" s="2">
        <f>'النصاب الكامل'!AO19</f>
        <v>0</v>
      </c>
      <c r="AS20" s="2">
        <f>'النصاب الكامل'!AP19</f>
        <v>0</v>
      </c>
      <c r="AT20" s="2">
        <f>'النصاب الكامل'!AQ19</f>
        <v>0</v>
      </c>
      <c r="AU20" s="2">
        <f>'النصاب الكامل'!AR19</f>
        <v>0</v>
      </c>
      <c r="AV20" s="2">
        <f>'النصاب الكامل'!AS19</f>
        <v>0</v>
      </c>
      <c r="AW20" s="2">
        <f>'النصاب الكامل'!AT19</f>
        <v>0</v>
      </c>
      <c r="AX20" s="2">
        <f>'النصاب الكامل'!AU19</f>
        <v>0</v>
      </c>
      <c r="AY20" s="2">
        <f>'النصاب الكامل'!AV19</f>
        <v>0</v>
      </c>
      <c r="AZ20" s="2">
        <f>'النصاب الكامل'!AW19</f>
        <v>0</v>
      </c>
      <c r="BA20" s="2">
        <f>'النصاب الكامل'!AX19</f>
        <v>0</v>
      </c>
      <c r="BB20">
        <f t="shared" si="19"/>
        <v>0</v>
      </c>
      <c r="BC20">
        <f t="shared" si="19"/>
        <v>0</v>
      </c>
      <c r="BD20">
        <f t="shared" si="19"/>
        <v>0</v>
      </c>
      <c r="BE20">
        <f t="shared" si="19"/>
        <v>0</v>
      </c>
      <c r="BF20">
        <f t="shared" si="19"/>
        <v>0</v>
      </c>
      <c r="BG20">
        <f t="shared" si="19"/>
        <v>0</v>
      </c>
      <c r="BH20">
        <f t="shared" si="19"/>
        <v>0</v>
      </c>
      <c r="BI20">
        <f t="shared" si="19"/>
        <v>0</v>
      </c>
      <c r="BJ20">
        <f t="shared" si="19"/>
        <v>0</v>
      </c>
      <c r="BK20">
        <f t="shared" si="19"/>
        <v>0</v>
      </c>
      <c r="BL20">
        <f t="shared" si="19"/>
        <v>0</v>
      </c>
      <c r="BM20">
        <f t="shared" si="19"/>
        <v>0</v>
      </c>
      <c r="BN20" s="19" t="str">
        <f t="shared" si="22"/>
        <v/>
      </c>
      <c r="BO20" s="15" t="str">
        <f t="shared" si="23"/>
        <v/>
      </c>
      <c r="BP20" s="19" t="str">
        <f t="shared" si="24"/>
        <v/>
      </c>
      <c r="BQ20" s="15" t="str">
        <f t="shared" si="25"/>
        <v/>
      </c>
      <c r="BR20" s="19" t="str">
        <f t="shared" si="26"/>
        <v/>
      </c>
      <c r="BS20" s="15" t="str">
        <f t="shared" si="27"/>
        <v/>
      </c>
      <c r="BT20" s="19" t="str">
        <f t="shared" si="28"/>
        <v/>
      </c>
      <c r="BU20" s="15" t="str">
        <f t="shared" si="29"/>
        <v/>
      </c>
      <c r="BV20" s="19" t="str">
        <f t="shared" si="30"/>
        <v/>
      </c>
      <c r="BW20" s="15" t="str">
        <f t="shared" si="31"/>
        <v/>
      </c>
      <c r="BX20" s="19" t="str">
        <f t="shared" si="32"/>
        <v/>
      </c>
      <c r="BY20" s="16" t="str">
        <f t="shared" si="33"/>
        <v/>
      </c>
      <c r="BZ20">
        <f t="shared" si="34"/>
        <v>0</v>
      </c>
      <c r="CB20">
        <f t="shared" si="18"/>
        <v>17</v>
      </c>
      <c r="CC20" s="2"/>
    </row>
    <row r="21" spans="1:81" x14ac:dyDescent="0.45">
      <c r="A21" t="str">
        <f>'النصاب الكامل'!AL20</f>
        <v>سالم يحيى</v>
      </c>
      <c r="B21">
        <f>'النصاب الكامل'!AY20</f>
        <v>16</v>
      </c>
      <c r="C21" s="15">
        <v>25</v>
      </c>
      <c r="D21" s="2">
        <v>15</v>
      </c>
      <c r="E21" s="2"/>
      <c r="F21" s="2"/>
      <c r="G21" s="2"/>
      <c r="H21" s="16"/>
      <c r="I21" s="40"/>
      <c r="J21" s="17"/>
      <c r="K21" s="2"/>
      <c r="L21" s="2"/>
      <c r="M21" s="2"/>
      <c r="N21" s="2">
        <v>25</v>
      </c>
      <c r="O21" s="1">
        <v>24</v>
      </c>
      <c r="P21" s="40">
        <v>14</v>
      </c>
      <c r="Q21" s="15"/>
      <c r="R21" s="2">
        <v>14</v>
      </c>
      <c r="S21" s="2">
        <v>14</v>
      </c>
      <c r="T21" s="2">
        <v>24</v>
      </c>
      <c r="U21" s="2">
        <v>25</v>
      </c>
      <c r="V21" s="16">
        <v>15</v>
      </c>
      <c r="W21" s="40"/>
      <c r="X21" s="17"/>
      <c r="Y21" s="2"/>
      <c r="Z21" s="2">
        <v>14</v>
      </c>
      <c r="AA21" s="2">
        <v>24</v>
      </c>
      <c r="AB21" s="2">
        <v>15</v>
      </c>
      <c r="AC21" s="1">
        <v>25</v>
      </c>
      <c r="AD21" s="40"/>
      <c r="AE21" s="15"/>
      <c r="AF21" s="2">
        <v>15</v>
      </c>
      <c r="AG21" s="2">
        <v>24</v>
      </c>
      <c r="AH21" s="2"/>
      <c r="AI21" s="2"/>
      <c r="AJ21" s="1"/>
      <c r="AK21" s="16"/>
      <c r="AL21">
        <f t="shared" si="20"/>
        <v>312</v>
      </c>
      <c r="AO21" t="str">
        <f t="shared" si="21"/>
        <v>سالم يحيى</v>
      </c>
      <c r="AP21" s="2">
        <f>'النصاب الكامل'!AM20</f>
        <v>0</v>
      </c>
      <c r="AQ21" s="2">
        <f>'النصاب الكامل'!AN20</f>
        <v>0</v>
      </c>
      <c r="AR21" s="2">
        <f>'النصاب الكامل'!AO20</f>
        <v>0</v>
      </c>
      <c r="AS21" s="2">
        <f>'النصاب الكامل'!AP20</f>
        <v>0</v>
      </c>
      <c r="AT21" s="2">
        <f>'النصاب الكامل'!AQ20</f>
        <v>0</v>
      </c>
      <c r="AU21" s="2">
        <f>'النصاب الكامل'!AR20</f>
        <v>0</v>
      </c>
      <c r="AV21" s="2">
        <f>'النصاب الكامل'!AS20</f>
        <v>4</v>
      </c>
      <c r="AW21" s="2">
        <f>'النصاب الكامل'!AT20</f>
        <v>4</v>
      </c>
      <c r="AX21" s="2">
        <f>'النصاب الكامل'!AU20</f>
        <v>4</v>
      </c>
      <c r="AY21" s="2">
        <f>'النصاب الكامل'!AV20</f>
        <v>4</v>
      </c>
      <c r="AZ21" s="2">
        <f>'النصاب الكامل'!AW20</f>
        <v>0</v>
      </c>
      <c r="BA21" s="2">
        <f>'النصاب الكامل'!AX20</f>
        <v>0</v>
      </c>
      <c r="BB21">
        <f t="shared" si="19"/>
        <v>0</v>
      </c>
      <c r="BC21">
        <f t="shared" si="19"/>
        <v>0</v>
      </c>
      <c r="BD21">
        <f t="shared" si="19"/>
        <v>0</v>
      </c>
      <c r="BE21">
        <f t="shared" si="19"/>
        <v>0</v>
      </c>
      <c r="BF21">
        <f t="shared" si="19"/>
        <v>0</v>
      </c>
      <c r="BG21">
        <f t="shared" si="19"/>
        <v>0</v>
      </c>
      <c r="BH21">
        <f t="shared" si="19"/>
        <v>4</v>
      </c>
      <c r="BI21">
        <f t="shared" si="19"/>
        <v>4</v>
      </c>
      <c r="BJ21">
        <f t="shared" si="19"/>
        <v>4</v>
      </c>
      <c r="BK21">
        <f t="shared" si="19"/>
        <v>4</v>
      </c>
      <c r="BL21">
        <f t="shared" si="19"/>
        <v>0</v>
      </c>
      <c r="BM21">
        <f t="shared" si="19"/>
        <v>0</v>
      </c>
      <c r="BN21" s="15" t="str">
        <f t="shared" si="22"/>
        <v/>
      </c>
      <c r="BO21" s="15" t="str">
        <f t="shared" si="23"/>
        <v/>
      </c>
      <c r="BP21" s="15" t="str">
        <f t="shared" si="24"/>
        <v/>
      </c>
      <c r="BQ21" s="15" t="str">
        <f t="shared" si="25"/>
        <v/>
      </c>
      <c r="BR21" s="15" t="str">
        <f t="shared" si="26"/>
        <v/>
      </c>
      <c r="BS21" s="15" t="str">
        <f t="shared" si="27"/>
        <v/>
      </c>
      <c r="BT21" s="15" t="str">
        <f t="shared" si="28"/>
        <v/>
      </c>
      <c r="BU21" s="15" t="str">
        <f t="shared" si="29"/>
        <v/>
      </c>
      <c r="BV21" s="15" t="str">
        <f t="shared" si="30"/>
        <v/>
      </c>
      <c r="BW21" s="15" t="str">
        <f t="shared" si="31"/>
        <v/>
      </c>
      <c r="BX21" s="15" t="str">
        <f t="shared" si="32"/>
        <v/>
      </c>
      <c r="BY21" s="16" t="str">
        <f t="shared" si="33"/>
        <v/>
      </c>
      <c r="BZ21">
        <f t="shared" si="34"/>
        <v>0</v>
      </c>
      <c r="CB21">
        <f t="shared" si="18"/>
        <v>18</v>
      </c>
      <c r="CC21" s="2"/>
    </row>
    <row r="22" spans="1:81" x14ac:dyDescent="0.45">
      <c r="A22" t="str">
        <f>'النصاب الكامل'!AL21</f>
        <v>محمود</v>
      </c>
      <c r="B22">
        <f>'النصاب الكامل'!AY21</f>
        <v>10</v>
      </c>
      <c r="C22" s="15"/>
      <c r="D22" s="2">
        <v>26</v>
      </c>
      <c r="E22" s="2"/>
      <c r="F22" s="2"/>
      <c r="G22" s="2"/>
      <c r="H22" s="16"/>
      <c r="I22" s="40">
        <v>16</v>
      </c>
      <c r="J22" s="17">
        <v>26</v>
      </c>
      <c r="K22" s="2"/>
      <c r="L22" s="2">
        <v>16</v>
      </c>
      <c r="M22" s="2"/>
      <c r="N22" s="2"/>
      <c r="O22" s="1"/>
      <c r="P22" s="40"/>
      <c r="Q22" s="15">
        <v>26</v>
      </c>
      <c r="R22" s="2"/>
      <c r="S22" s="2"/>
      <c r="T22" s="2"/>
      <c r="U22" s="2"/>
      <c r="V22" s="16"/>
      <c r="W22" s="40"/>
      <c r="X22" s="17"/>
      <c r="Y22" s="2">
        <v>26</v>
      </c>
      <c r="Z22" s="2">
        <v>16</v>
      </c>
      <c r="AA22" s="2"/>
      <c r="AB22" s="2"/>
      <c r="AC22" s="1"/>
      <c r="AD22" s="40"/>
      <c r="AE22" s="15"/>
      <c r="AF22" s="2"/>
      <c r="AG22" s="2">
        <v>16</v>
      </c>
      <c r="AH22" s="2">
        <v>16</v>
      </c>
      <c r="AI22" s="2"/>
      <c r="AJ22" s="1">
        <v>26</v>
      </c>
      <c r="AK22" s="16"/>
      <c r="AL22">
        <f t="shared" si="20"/>
        <v>210</v>
      </c>
      <c r="AO22" t="str">
        <f t="shared" si="21"/>
        <v>محمود</v>
      </c>
      <c r="AP22" s="2">
        <f>'النصاب الكامل'!AM21</f>
        <v>0</v>
      </c>
      <c r="AQ22" s="2">
        <f>'النصاب الكامل'!AN21</f>
        <v>0</v>
      </c>
      <c r="AR22" s="2">
        <f>'النصاب الكامل'!AO21</f>
        <v>0</v>
      </c>
      <c r="AS22" s="2">
        <f>'النصاب الكامل'!AP21</f>
        <v>0</v>
      </c>
      <c r="AT22" s="2">
        <f>'النصاب الكامل'!AQ21</f>
        <v>0</v>
      </c>
      <c r="AU22" s="2">
        <f>'النصاب الكامل'!AR21</f>
        <v>0</v>
      </c>
      <c r="AV22" s="2">
        <f>'النصاب الكامل'!AS21</f>
        <v>0</v>
      </c>
      <c r="AW22" s="2">
        <f>'النصاب الكامل'!AT21</f>
        <v>0</v>
      </c>
      <c r="AX22" s="2">
        <f>'النصاب الكامل'!AU21</f>
        <v>0</v>
      </c>
      <c r="AY22" s="2">
        <f>'النصاب الكامل'!AV21</f>
        <v>0</v>
      </c>
      <c r="AZ22" s="2">
        <f>'النصاب الكامل'!AW21</f>
        <v>5</v>
      </c>
      <c r="BA22" s="2">
        <f>'النصاب الكامل'!AX21</f>
        <v>5</v>
      </c>
      <c r="BB22">
        <f t="shared" si="19"/>
        <v>0</v>
      </c>
      <c r="BC22">
        <f t="shared" si="19"/>
        <v>0</v>
      </c>
      <c r="BD22">
        <f t="shared" si="19"/>
        <v>0</v>
      </c>
      <c r="BE22">
        <f t="shared" si="19"/>
        <v>0</v>
      </c>
      <c r="BF22">
        <f t="shared" si="19"/>
        <v>0</v>
      </c>
      <c r="BG22">
        <f t="shared" si="19"/>
        <v>0</v>
      </c>
      <c r="BH22">
        <f t="shared" si="19"/>
        <v>0</v>
      </c>
      <c r="BI22">
        <f t="shared" si="19"/>
        <v>0</v>
      </c>
      <c r="BJ22">
        <f t="shared" si="19"/>
        <v>0</v>
      </c>
      <c r="BK22">
        <f t="shared" si="19"/>
        <v>0</v>
      </c>
      <c r="BL22">
        <f t="shared" si="19"/>
        <v>5</v>
      </c>
      <c r="BM22">
        <f t="shared" si="19"/>
        <v>5</v>
      </c>
      <c r="BN22" s="15" t="str">
        <f t="shared" si="22"/>
        <v/>
      </c>
      <c r="BO22" s="15" t="str">
        <f t="shared" si="23"/>
        <v/>
      </c>
      <c r="BP22" s="15" t="str">
        <f t="shared" si="24"/>
        <v/>
      </c>
      <c r="BQ22" s="15" t="str">
        <f t="shared" si="25"/>
        <v/>
      </c>
      <c r="BR22" s="15" t="str">
        <f t="shared" si="26"/>
        <v/>
      </c>
      <c r="BS22" s="15" t="str">
        <f t="shared" si="27"/>
        <v/>
      </c>
      <c r="BT22" s="15" t="str">
        <f t="shared" si="28"/>
        <v/>
      </c>
      <c r="BU22" s="15" t="str">
        <f t="shared" si="29"/>
        <v/>
      </c>
      <c r="BV22" s="15" t="str">
        <f t="shared" si="30"/>
        <v/>
      </c>
      <c r="BW22" s="15" t="str">
        <f t="shared" si="31"/>
        <v/>
      </c>
      <c r="BX22" s="15" t="str">
        <f t="shared" si="32"/>
        <v/>
      </c>
      <c r="BY22" s="16" t="str">
        <f t="shared" si="33"/>
        <v/>
      </c>
      <c r="BZ22">
        <f t="shared" si="34"/>
        <v>0</v>
      </c>
      <c r="CB22">
        <f t="shared" si="18"/>
        <v>19</v>
      </c>
      <c r="CC22" s="2"/>
    </row>
    <row r="23" spans="1:81" x14ac:dyDescent="0.45">
      <c r="A23" t="str">
        <f>'النصاب الكامل'!AL22</f>
        <v>حسين سالم</v>
      </c>
      <c r="B23">
        <f>'النصاب الكامل'!AY22</f>
        <v>16</v>
      </c>
      <c r="C23" s="15">
        <v>14</v>
      </c>
      <c r="D23" s="2">
        <v>24</v>
      </c>
      <c r="E23" s="2"/>
      <c r="F23" s="2"/>
      <c r="G23" s="2"/>
      <c r="H23" s="16"/>
      <c r="I23" s="40"/>
      <c r="J23" s="17"/>
      <c r="K23" s="2"/>
      <c r="L23" s="2">
        <v>15</v>
      </c>
      <c r="M23" s="2"/>
      <c r="N23" s="2">
        <v>14</v>
      </c>
      <c r="O23" s="1">
        <v>15</v>
      </c>
      <c r="P23" s="40">
        <v>25</v>
      </c>
      <c r="Q23" s="15">
        <v>15</v>
      </c>
      <c r="R23" s="2">
        <v>24</v>
      </c>
      <c r="S23" s="2">
        <v>25</v>
      </c>
      <c r="T23" s="2"/>
      <c r="U23" s="2"/>
      <c r="V23" s="16"/>
      <c r="W23" s="40"/>
      <c r="X23" s="17"/>
      <c r="Y23" s="2">
        <v>25</v>
      </c>
      <c r="Z23" s="2">
        <v>15</v>
      </c>
      <c r="AA23" s="2"/>
      <c r="AB23" s="2"/>
      <c r="AC23" s="1"/>
      <c r="AD23" s="40"/>
      <c r="AE23" s="15">
        <v>25</v>
      </c>
      <c r="AF23" s="2"/>
      <c r="AG23" s="2">
        <v>15</v>
      </c>
      <c r="AH23" s="2">
        <v>25</v>
      </c>
      <c r="AI23" s="2">
        <v>24</v>
      </c>
      <c r="AJ23" s="1">
        <v>14</v>
      </c>
      <c r="AK23" s="16"/>
      <c r="AL23">
        <f t="shared" si="20"/>
        <v>314</v>
      </c>
      <c r="AO23" t="str">
        <f t="shared" si="21"/>
        <v>حسين سالم</v>
      </c>
      <c r="AP23" s="2">
        <f>'النصاب الكامل'!AM22</f>
        <v>0</v>
      </c>
      <c r="AQ23" s="2">
        <f>'النصاب الكامل'!AN22</f>
        <v>0</v>
      </c>
      <c r="AR23" s="2">
        <f>'النصاب الكامل'!AO22</f>
        <v>0</v>
      </c>
      <c r="AS23" s="2">
        <f>'النصاب الكامل'!AP22</f>
        <v>0</v>
      </c>
      <c r="AT23" s="2">
        <f>'النصاب الكامل'!AQ22</f>
        <v>0</v>
      </c>
      <c r="AU23" s="2">
        <f>'النصاب الكامل'!AR22</f>
        <v>0</v>
      </c>
      <c r="AV23" s="2">
        <f>'النصاب الكامل'!AS22</f>
        <v>3</v>
      </c>
      <c r="AW23" s="2">
        <f>'النصاب الكامل'!AT22</f>
        <v>3</v>
      </c>
      <c r="AX23" s="2">
        <f>'النصاب الكامل'!AU22</f>
        <v>5</v>
      </c>
      <c r="AY23" s="2">
        <f>'النصاب الكامل'!AV22</f>
        <v>5</v>
      </c>
      <c r="AZ23" s="2">
        <f>'النصاب الكامل'!AW22</f>
        <v>0</v>
      </c>
      <c r="BA23" s="2">
        <f>'النصاب الكامل'!AX22</f>
        <v>0</v>
      </c>
      <c r="BB23">
        <f t="shared" si="19"/>
        <v>0</v>
      </c>
      <c r="BC23">
        <f t="shared" si="19"/>
        <v>0</v>
      </c>
      <c r="BD23">
        <f t="shared" si="19"/>
        <v>0</v>
      </c>
      <c r="BE23">
        <f t="shared" si="19"/>
        <v>0</v>
      </c>
      <c r="BF23">
        <f t="shared" si="19"/>
        <v>0</v>
      </c>
      <c r="BG23">
        <f t="shared" si="19"/>
        <v>0</v>
      </c>
      <c r="BH23">
        <f t="shared" si="19"/>
        <v>3</v>
      </c>
      <c r="BI23">
        <f t="shared" si="19"/>
        <v>3</v>
      </c>
      <c r="BJ23">
        <f t="shared" si="19"/>
        <v>5</v>
      </c>
      <c r="BK23">
        <f t="shared" si="19"/>
        <v>5</v>
      </c>
      <c r="BL23">
        <f t="shared" si="19"/>
        <v>0</v>
      </c>
      <c r="BM23">
        <f t="shared" si="19"/>
        <v>0</v>
      </c>
      <c r="BN23" s="15" t="str">
        <f t="shared" si="22"/>
        <v/>
      </c>
      <c r="BO23" s="15" t="str">
        <f t="shared" si="23"/>
        <v/>
      </c>
      <c r="BP23" s="15" t="str">
        <f t="shared" si="24"/>
        <v/>
      </c>
      <c r="BQ23" s="15" t="str">
        <f t="shared" si="25"/>
        <v/>
      </c>
      <c r="BR23" s="15" t="str">
        <f t="shared" si="26"/>
        <v/>
      </c>
      <c r="BS23" s="15" t="str">
        <f t="shared" si="27"/>
        <v/>
      </c>
      <c r="BT23" s="15" t="str">
        <f t="shared" si="28"/>
        <v/>
      </c>
      <c r="BU23" s="15" t="str">
        <f t="shared" si="29"/>
        <v/>
      </c>
      <c r="BV23" s="15" t="str">
        <f t="shared" si="30"/>
        <v/>
      </c>
      <c r="BW23" s="15" t="str">
        <f t="shared" si="31"/>
        <v/>
      </c>
      <c r="BX23" s="15" t="str">
        <f t="shared" si="32"/>
        <v/>
      </c>
      <c r="BY23" s="16" t="str">
        <f t="shared" si="33"/>
        <v/>
      </c>
      <c r="BZ23">
        <f t="shared" si="34"/>
        <v>0</v>
      </c>
      <c r="CB23">
        <f t="shared" si="18"/>
        <v>20</v>
      </c>
      <c r="CC23" s="2"/>
    </row>
    <row r="24" spans="1:81" x14ac:dyDescent="0.45">
      <c r="A24" t="str">
        <f>'النصاب الكامل'!AL23</f>
        <v>حسين الفيفيي</v>
      </c>
      <c r="B24">
        <f>'النصاب الكامل'!AY23</f>
        <v>14</v>
      </c>
      <c r="C24" s="15"/>
      <c r="D24" s="2"/>
      <c r="E24" s="2"/>
      <c r="F24" s="2">
        <v>12</v>
      </c>
      <c r="G24" s="2"/>
      <c r="H24" s="16">
        <v>16</v>
      </c>
      <c r="I24" s="40">
        <v>26</v>
      </c>
      <c r="J24" s="17"/>
      <c r="K24" s="2">
        <v>26</v>
      </c>
      <c r="L24" s="2">
        <v>22</v>
      </c>
      <c r="M24" s="2">
        <v>16</v>
      </c>
      <c r="N24" s="2"/>
      <c r="O24" s="1">
        <v>22</v>
      </c>
      <c r="P24" s="40">
        <v>22</v>
      </c>
      <c r="Q24" s="15"/>
      <c r="R24" s="2"/>
      <c r="S24" s="2">
        <v>12</v>
      </c>
      <c r="T24" s="2"/>
      <c r="U24" s="2"/>
      <c r="V24" s="16"/>
      <c r="W24" s="40"/>
      <c r="X24" s="17"/>
      <c r="Y24" s="2"/>
      <c r="Z24" s="2">
        <v>22</v>
      </c>
      <c r="AA24" s="2">
        <v>16</v>
      </c>
      <c r="AB24" s="2">
        <v>12</v>
      </c>
      <c r="AC24" s="1">
        <v>26</v>
      </c>
      <c r="AD24" s="40"/>
      <c r="AE24" s="15">
        <v>12</v>
      </c>
      <c r="AF24" s="2"/>
      <c r="AG24" s="2"/>
      <c r="AH24" s="2"/>
      <c r="AI24" s="2"/>
      <c r="AJ24" s="1"/>
      <c r="AK24" s="16"/>
      <c r="AL24">
        <f t="shared" ref="AL24:AL32" si="35">SUM(C24:AK24)</f>
        <v>262</v>
      </c>
      <c r="AO24" t="str">
        <f t="shared" ref="AO24:AO32" si="36">A24</f>
        <v>حسين الفيفيي</v>
      </c>
      <c r="AP24" s="2">
        <f>'النصاب الكامل'!AM23</f>
        <v>0</v>
      </c>
      <c r="AQ24" s="2">
        <f>'النصاب الكامل'!AN23</f>
        <v>0</v>
      </c>
      <c r="AR24" s="2">
        <f>'النصاب الكامل'!AO23</f>
        <v>4</v>
      </c>
      <c r="AS24" s="2">
        <f>'النصاب الكامل'!AP23</f>
        <v>4</v>
      </c>
      <c r="AT24" s="2">
        <f>'النصاب الكامل'!AQ23</f>
        <v>0</v>
      </c>
      <c r="AU24" s="2">
        <f>'النصاب الكامل'!AR23</f>
        <v>0</v>
      </c>
      <c r="AV24" s="2">
        <f>'النصاب الكامل'!AS23</f>
        <v>0</v>
      </c>
      <c r="AW24" s="2">
        <f>'النصاب الكامل'!AT23</f>
        <v>0</v>
      </c>
      <c r="AX24" s="2">
        <f>'النصاب الكامل'!AU23</f>
        <v>0</v>
      </c>
      <c r="AY24" s="2">
        <f>'النصاب الكامل'!AV23</f>
        <v>0</v>
      </c>
      <c r="AZ24" s="2">
        <f>'النصاب الكامل'!AW23</f>
        <v>3</v>
      </c>
      <c r="BA24" s="2">
        <f>'النصاب الكامل'!AX23</f>
        <v>3</v>
      </c>
      <c r="BB24">
        <f t="shared" ref="BB24:BM29" si="37">COUNTIF($C24:$AK24,BB$3)</f>
        <v>0</v>
      </c>
      <c r="BC24">
        <f t="shared" si="37"/>
        <v>0</v>
      </c>
      <c r="BD24">
        <f t="shared" si="37"/>
        <v>4</v>
      </c>
      <c r="BE24">
        <f t="shared" si="37"/>
        <v>4</v>
      </c>
      <c r="BF24">
        <f t="shared" si="37"/>
        <v>0</v>
      </c>
      <c r="BG24">
        <f t="shared" si="37"/>
        <v>0</v>
      </c>
      <c r="BH24">
        <f t="shared" si="37"/>
        <v>0</v>
      </c>
      <c r="BI24">
        <f t="shared" si="37"/>
        <v>0</v>
      </c>
      <c r="BJ24">
        <f t="shared" si="37"/>
        <v>0</v>
      </c>
      <c r="BK24">
        <f t="shared" si="37"/>
        <v>0</v>
      </c>
      <c r="BL24">
        <f t="shared" si="37"/>
        <v>3</v>
      </c>
      <c r="BM24">
        <f t="shared" si="37"/>
        <v>3</v>
      </c>
      <c r="BN24" s="15" t="str">
        <f t="shared" ref="BN24:BN32" si="38">IF(AP24-BB24=0,"",AP24-BB24)</f>
        <v/>
      </c>
      <c r="BO24" s="15" t="str">
        <f t="shared" ref="BO24:BO32" si="39">IF(AQ24-BC24=0,"",AQ24-BC24)</f>
        <v/>
      </c>
      <c r="BP24" s="15" t="str">
        <f t="shared" ref="BP24:BP32" si="40">IF(AR24-BD24=0,"",AR24-BD24)</f>
        <v/>
      </c>
      <c r="BQ24" s="15" t="str">
        <f t="shared" ref="BQ24:BQ32" si="41">IF(AS24-BE24=0,"",AS24-BE24)</f>
        <v/>
      </c>
      <c r="BR24" s="15" t="str">
        <f t="shared" ref="BR24:BR32" si="42">IF(AT24-BF24=0,"",AT24-BF24)</f>
        <v/>
      </c>
      <c r="BS24" s="15" t="str">
        <f t="shared" ref="BS24:BS32" si="43">IF(AU24-BG24=0,"",AU24-BG24)</f>
        <v/>
      </c>
      <c r="BT24" s="15" t="str">
        <f t="shared" ref="BT24:BT32" si="44">IF(AV24-BH24=0,"",AV24-BH24)</f>
        <v/>
      </c>
      <c r="BU24" s="15" t="str">
        <f t="shared" ref="BU24:BU32" si="45">IF(AW24-BI24=0,"",AW24-BI24)</f>
        <v/>
      </c>
      <c r="BV24" s="15" t="str">
        <f t="shared" ref="BV24:BV32" si="46">IF(AX24-BJ24=0,"",AX24-BJ24)</f>
        <v/>
      </c>
      <c r="BW24" s="15" t="str">
        <f t="shared" ref="BW24:BW32" si="47">IF(AY24-BK24=0,"",AY24-BK24)</f>
        <v/>
      </c>
      <c r="BX24" s="15" t="str">
        <f t="shared" ref="BX24:BX32" si="48">IF(AZ24-BL24=0,"",AZ24-BL24)</f>
        <v/>
      </c>
      <c r="BY24" s="16" t="str">
        <f t="shared" ref="BY24:BY32" si="49">IF(BA24-BM24=0,"",BA24-BM24)</f>
        <v/>
      </c>
      <c r="BZ24">
        <f t="shared" ref="BZ24:BZ32" si="50">SUM(BN24:BY24)</f>
        <v>0</v>
      </c>
      <c r="CB24">
        <f t="shared" si="18"/>
        <v>21</v>
      </c>
      <c r="CC24" s="2"/>
    </row>
    <row r="25" spans="1:81" x14ac:dyDescent="0.45">
      <c r="A25" t="str">
        <f>'النصاب الكامل'!AL24</f>
        <v>ابراهيم</v>
      </c>
      <c r="B25">
        <f>'النصاب الكامل'!AY24</f>
        <v>14</v>
      </c>
      <c r="C25" s="15">
        <v>26</v>
      </c>
      <c r="D25" s="2"/>
      <c r="E25" s="2"/>
      <c r="F25" s="2"/>
      <c r="G25" s="2"/>
      <c r="H25" s="16"/>
      <c r="I25" s="40">
        <v>11</v>
      </c>
      <c r="J25" s="17"/>
      <c r="K25" s="2">
        <v>16</v>
      </c>
      <c r="L25" s="2">
        <v>26</v>
      </c>
      <c r="M25" s="2">
        <v>11</v>
      </c>
      <c r="N25" s="2">
        <v>11</v>
      </c>
      <c r="O25" s="1"/>
      <c r="P25" s="40">
        <v>16</v>
      </c>
      <c r="Q25" s="15"/>
      <c r="R25" s="2"/>
      <c r="S25" s="2"/>
      <c r="T25" s="2"/>
      <c r="U25" s="2">
        <v>11</v>
      </c>
      <c r="V25" s="16">
        <v>16</v>
      </c>
      <c r="W25" s="40"/>
      <c r="X25" s="17"/>
      <c r="Y25" s="2"/>
      <c r="Z25" s="2">
        <v>26</v>
      </c>
      <c r="AA25" s="2"/>
      <c r="AB25" s="2"/>
      <c r="AC25" s="1">
        <v>11</v>
      </c>
      <c r="AD25" s="40">
        <v>11</v>
      </c>
      <c r="AE25" s="15">
        <v>26</v>
      </c>
      <c r="AF25" s="2">
        <v>16</v>
      </c>
      <c r="AG25" s="2"/>
      <c r="AH25" s="2"/>
      <c r="AI25" s="2"/>
      <c r="AJ25" s="1"/>
      <c r="AK25" s="16"/>
      <c r="AL25">
        <f t="shared" si="35"/>
        <v>234</v>
      </c>
      <c r="AO25" t="str">
        <f t="shared" si="36"/>
        <v>ابراهيم</v>
      </c>
      <c r="AP25" s="2">
        <f>'النصاب الكامل'!AM24</f>
        <v>6</v>
      </c>
      <c r="AQ25" s="2">
        <f>'النصاب الكامل'!AN24</f>
        <v>0</v>
      </c>
      <c r="AR25" s="2">
        <f>'النصاب الكامل'!AO24</f>
        <v>0</v>
      </c>
      <c r="AS25" s="2">
        <f>'النصاب الكامل'!AP24</f>
        <v>0</v>
      </c>
      <c r="AT25" s="2">
        <f>'النصاب الكامل'!AQ24</f>
        <v>0</v>
      </c>
      <c r="AU25" s="2">
        <f>'النصاب الكامل'!AR24</f>
        <v>0</v>
      </c>
      <c r="AV25" s="2">
        <f>'النصاب الكامل'!AS24</f>
        <v>0</v>
      </c>
      <c r="AW25" s="2">
        <f>'النصاب الكامل'!AT24</f>
        <v>0</v>
      </c>
      <c r="AX25" s="2">
        <f>'النصاب الكامل'!AU24</f>
        <v>0</v>
      </c>
      <c r="AY25" s="2">
        <f>'النصاب الكامل'!AV24</f>
        <v>0</v>
      </c>
      <c r="AZ25" s="2">
        <f>'النصاب الكامل'!AW24</f>
        <v>4</v>
      </c>
      <c r="BA25" s="2">
        <f>'النصاب الكامل'!AX24</f>
        <v>4</v>
      </c>
      <c r="BB25">
        <f t="shared" si="37"/>
        <v>6</v>
      </c>
      <c r="BC25">
        <f t="shared" si="37"/>
        <v>0</v>
      </c>
      <c r="BD25">
        <f t="shared" si="37"/>
        <v>0</v>
      </c>
      <c r="BE25">
        <f t="shared" si="37"/>
        <v>0</v>
      </c>
      <c r="BF25">
        <f t="shared" si="37"/>
        <v>0</v>
      </c>
      <c r="BG25">
        <f t="shared" si="37"/>
        <v>0</v>
      </c>
      <c r="BH25">
        <f t="shared" si="37"/>
        <v>0</v>
      </c>
      <c r="BI25">
        <f t="shared" si="37"/>
        <v>0</v>
      </c>
      <c r="BJ25">
        <f t="shared" si="37"/>
        <v>0</v>
      </c>
      <c r="BK25">
        <f t="shared" si="37"/>
        <v>0</v>
      </c>
      <c r="BL25">
        <f t="shared" si="37"/>
        <v>4</v>
      </c>
      <c r="BM25">
        <f t="shared" si="37"/>
        <v>4</v>
      </c>
      <c r="BN25" s="15" t="str">
        <f t="shared" si="38"/>
        <v/>
      </c>
      <c r="BO25" s="15" t="str">
        <f t="shared" si="39"/>
        <v/>
      </c>
      <c r="BP25" s="15" t="str">
        <f t="shared" si="40"/>
        <v/>
      </c>
      <c r="BQ25" s="15" t="str">
        <f t="shared" si="41"/>
        <v/>
      </c>
      <c r="BR25" s="15" t="str">
        <f t="shared" si="42"/>
        <v/>
      </c>
      <c r="BS25" s="15" t="str">
        <f t="shared" si="43"/>
        <v/>
      </c>
      <c r="BT25" s="15" t="str">
        <f t="shared" si="44"/>
        <v/>
      </c>
      <c r="BU25" s="15" t="str">
        <f t="shared" si="45"/>
        <v/>
      </c>
      <c r="BV25" s="15" t="str">
        <f t="shared" si="46"/>
        <v/>
      </c>
      <c r="BW25" s="15" t="str">
        <f t="shared" si="47"/>
        <v/>
      </c>
      <c r="BX25" s="15" t="str">
        <f t="shared" si="48"/>
        <v/>
      </c>
      <c r="BY25" s="16" t="str">
        <f t="shared" si="49"/>
        <v/>
      </c>
      <c r="BZ25">
        <f t="shared" si="50"/>
        <v>0</v>
      </c>
      <c r="CB25">
        <f t="shared" si="18"/>
        <v>22</v>
      </c>
      <c r="CC25" s="2"/>
    </row>
    <row r="26" spans="1:81" x14ac:dyDescent="0.45">
      <c r="A26" t="str">
        <f>'النصاب الكامل'!AL25</f>
        <v>سلمان محيي</v>
      </c>
      <c r="B26">
        <f>'النصاب الكامل'!AY25</f>
        <v>14</v>
      </c>
      <c r="C26" s="15">
        <v>24</v>
      </c>
      <c r="D26" s="2">
        <v>25</v>
      </c>
      <c r="E26" s="2"/>
      <c r="F26" s="2"/>
      <c r="G26" s="2"/>
      <c r="H26" s="16"/>
      <c r="I26" s="40"/>
      <c r="J26" s="17"/>
      <c r="K26" s="2"/>
      <c r="L26" s="2">
        <v>14</v>
      </c>
      <c r="M26" s="2">
        <v>15</v>
      </c>
      <c r="N26" s="2"/>
      <c r="O26" s="1"/>
      <c r="P26" s="40">
        <v>24</v>
      </c>
      <c r="Q26" s="15">
        <v>14</v>
      </c>
      <c r="R26" s="2"/>
      <c r="S26" s="2"/>
      <c r="T26" s="2">
        <v>15</v>
      </c>
      <c r="U26" s="2"/>
      <c r="V26" s="16">
        <v>25</v>
      </c>
      <c r="W26" s="40"/>
      <c r="X26" s="17">
        <v>15</v>
      </c>
      <c r="Y26" s="2">
        <v>14</v>
      </c>
      <c r="Z26" s="2">
        <v>25</v>
      </c>
      <c r="AA26" s="2"/>
      <c r="AB26" s="2"/>
      <c r="AC26" s="1"/>
      <c r="AD26" s="40"/>
      <c r="AE26" s="15"/>
      <c r="AF26" s="2"/>
      <c r="AG26" s="2">
        <v>25</v>
      </c>
      <c r="AH26" s="2">
        <v>24</v>
      </c>
      <c r="AI26" s="2"/>
      <c r="AJ26" s="1">
        <v>15</v>
      </c>
      <c r="AK26" s="16"/>
      <c r="AL26">
        <f t="shared" si="35"/>
        <v>274</v>
      </c>
      <c r="AO26" t="str">
        <f t="shared" si="36"/>
        <v>سلمان محيي</v>
      </c>
      <c r="AP26" s="2">
        <f>'النصاب الكامل'!AM25</f>
        <v>0</v>
      </c>
      <c r="AQ26" s="2">
        <f>'النصاب الكامل'!AN25</f>
        <v>0</v>
      </c>
      <c r="AR26" s="2">
        <f>'النصاب الكامل'!AO25</f>
        <v>0</v>
      </c>
      <c r="AS26" s="2">
        <f>'النصاب الكامل'!AP25</f>
        <v>0</v>
      </c>
      <c r="AT26" s="2">
        <f>'النصاب الكامل'!AQ25</f>
        <v>0</v>
      </c>
      <c r="AU26" s="2">
        <f>'النصاب الكامل'!AR25</f>
        <v>0</v>
      </c>
      <c r="AV26" s="2">
        <f>'النصاب الكامل'!AS25</f>
        <v>3</v>
      </c>
      <c r="AW26" s="2">
        <f>'النصاب الكامل'!AT25</f>
        <v>3</v>
      </c>
      <c r="AX26" s="2">
        <f>'النصاب الكامل'!AU25</f>
        <v>4</v>
      </c>
      <c r="AY26" s="2">
        <f>'النصاب الكامل'!AV25</f>
        <v>4</v>
      </c>
      <c r="AZ26" s="2">
        <f>'النصاب الكامل'!AW25</f>
        <v>0</v>
      </c>
      <c r="BA26" s="2">
        <f>'النصاب الكامل'!AX25</f>
        <v>0</v>
      </c>
      <c r="BB26">
        <f t="shared" si="37"/>
        <v>0</v>
      </c>
      <c r="BC26">
        <f t="shared" si="37"/>
        <v>0</v>
      </c>
      <c r="BD26">
        <f t="shared" si="37"/>
        <v>0</v>
      </c>
      <c r="BE26">
        <f t="shared" si="37"/>
        <v>0</v>
      </c>
      <c r="BF26">
        <f t="shared" si="37"/>
        <v>0</v>
      </c>
      <c r="BG26">
        <f t="shared" si="37"/>
        <v>0</v>
      </c>
      <c r="BH26">
        <f t="shared" si="37"/>
        <v>3</v>
      </c>
      <c r="BI26">
        <f t="shared" si="37"/>
        <v>3</v>
      </c>
      <c r="BJ26">
        <f t="shared" si="37"/>
        <v>4</v>
      </c>
      <c r="BK26">
        <f t="shared" si="37"/>
        <v>4</v>
      </c>
      <c r="BL26">
        <f t="shared" si="37"/>
        <v>0</v>
      </c>
      <c r="BM26">
        <f t="shared" si="37"/>
        <v>0</v>
      </c>
      <c r="BN26" s="15" t="str">
        <f t="shared" si="38"/>
        <v/>
      </c>
      <c r="BO26" s="15" t="str">
        <f t="shared" si="39"/>
        <v/>
      </c>
      <c r="BP26" s="15" t="str">
        <f t="shared" si="40"/>
        <v/>
      </c>
      <c r="BQ26" s="15" t="str">
        <f t="shared" si="41"/>
        <v/>
      </c>
      <c r="BR26" s="15" t="str">
        <f t="shared" si="42"/>
        <v/>
      </c>
      <c r="BS26" s="15" t="str">
        <f t="shared" si="43"/>
        <v/>
      </c>
      <c r="BT26" s="15" t="str">
        <f t="shared" si="44"/>
        <v/>
      </c>
      <c r="BU26" s="15" t="str">
        <f t="shared" si="45"/>
        <v/>
      </c>
      <c r="BV26" s="15" t="str">
        <f t="shared" si="46"/>
        <v/>
      </c>
      <c r="BW26" s="15" t="str">
        <f t="shared" si="47"/>
        <v/>
      </c>
      <c r="BX26" s="15" t="str">
        <f t="shared" si="48"/>
        <v/>
      </c>
      <c r="BY26" s="16" t="str">
        <f t="shared" si="49"/>
        <v/>
      </c>
      <c r="BZ26">
        <f t="shared" si="50"/>
        <v>0</v>
      </c>
      <c r="CB26">
        <f t="shared" si="18"/>
        <v>23</v>
      </c>
      <c r="CC26" s="2"/>
    </row>
    <row r="27" spans="1:81" x14ac:dyDescent="0.45">
      <c r="A27" t="str">
        <f>'النصاب الكامل'!AL26</f>
        <v>حسين العمري</v>
      </c>
      <c r="B27">
        <f>'النصاب الكامل'!AY26</f>
        <v>14</v>
      </c>
      <c r="C27" s="15"/>
      <c r="D27" s="2">
        <v>16</v>
      </c>
      <c r="E27" s="2"/>
      <c r="F27" s="2">
        <v>11</v>
      </c>
      <c r="G27" s="2">
        <v>11</v>
      </c>
      <c r="H27" s="16">
        <v>26</v>
      </c>
      <c r="I27" s="40"/>
      <c r="J27" s="17"/>
      <c r="K27" s="2">
        <v>11</v>
      </c>
      <c r="L27" s="2"/>
      <c r="M27" s="2">
        <v>26</v>
      </c>
      <c r="N27" s="2">
        <v>26</v>
      </c>
      <c r="O27" s="1">
        <v>16</v>
      </c>
      <c r="P27" s="40"/>
      <c r="Q27" s="15"/>
      <c r="R27" s="2"/>
      <c r="S27" s="2">
        <v>16</v>
      </c>
      <c r="T27" s="2">
        <v>26</v>
      </c>
      <c r="U27" s="2"/>
      <c r="V27" s="16">
        <v>11</v>
      </c>
      <c r="W27" s="40"/>
      <c r="X27" s="17">
        <v>16</v>
      </c>
      <c r="Y27" s="2"/>
      <c r="Z27" s="2"/>
      <c r="AA27" s="2"/>
      <c r="AB27" s="2"/>
      <c r="AC27" s="1"/>
      <c r="AD27" s="40"/>
      <c r="AE27" s="15">
        <v>16</v>
      </c>
      <c r="AF27" s="2">
        <v>26</v>
      </c>
      <c r="AG27" s="2"/>
      <c r="AH27" s="2"/>
      <c r="AI27" s="2"/>
      <c r="AJ27" s="1"/>
      <c r="AK27" s="16"/>
      <c r="AL27">
        <f t="shared" si="35"/>
        <v>254</v>
      </c>
      <c r="AO27" t="str">
        <f t="shared" si="36"/>
        <v>حسين العمري</v>
      </c>
      <c r="AP27" s="2">
        <f>'النصاب الكامل'!AM26</f>
        <v>4</v>
      </c>
      <c r="AQ27" s="2">
        <f>'النصاب الكامل'!AN26</f>
        <v>0</v>
      </c>
      <c r="AR27" s="2">
        <f>'النصاب الكامل'!AO26</f>
        <v>0</v>
      </c>
      <c r="AS27" s="2">
        <f>'النصاب الكامل'!AP26</f>
        <v>0</v>
      </c>
      <c r="AT27" s="2">
        <f>'النصاب الكامل'!AQ26</f>
        <v>0</v>
      </c>
      <c r="AU27" s="2">
        <f>'النصاب الكامل'!AR26</f>
        <v>0</v>
      </c>
      <c r="AV27" s="2">
        <f>'النصاب الكامل'!AS26</f>
        <v>0</v>
      </c>
      <c r="AW27" s="2">
        <f>'النصاب الكامل'!AT26</f>
        <v>0</v>
      </c>
      <c r="AX27" s="2">
        <f>'النصاب الكامل'!AU26</f>
        <v>0</v>
      </c>
      <c r="AY27" s="2">
        <f>'النصاب الكامل'!AV26</f>
        <v>0</v>
      </c>
      <c r="AZ27" s="2">
        <f>'النصاب الكامل'!AW26</f>
        <v>5</v>
      </c>
      <c r="BA27" s="2">
        <f>'النصاب الكامل'!AX26</f>
        <v>5</v>
      </c>
      <c r="BB27">
        <f t="shared" si="37"/>
        <v>4</v>
      </c>
      <c r="BC27">
        <f t="shared" si="37"/>
        <v>0</v>
      </c>
      <c r="BD27">
        <f t="shared" si="37"/>
        <v>0</v>
      </c>
      <c r="BE27">
        <f t="shared" si="37"/>
        <v>0</v>
      </c>
      <c r="BF27">
        <f t="shared" si="37"/>
        <v>0</v>
      </c>
      <c r="BG27">
        <f t="shared" si="37"/>
        <v>0</v>
      </c>
      <c r="BH27">
        <f t="shared" si="37"/>
        <v>0</v>
      </c>
      <c r="BI27">
        <f t="shared" si="37"/>
        <v>0</v>
      </c>
      <c r="BJ27">
        <f t="shared" si="37"/>
        <v>0</v>
      </c>
      <c r="BK27">
        <f t="shared" si="37"/>
        <v>0</v>
      </c>
      <c r="BL27">
        <f t="shared" si="37"/>
        <v>5</v>
      </c>
      <c r="BM27">
        <f t="shared" si="37"/>
        <v>5</v>
      </c>
      <c r="BN27" s="15" t="str">
        <f t="shared" si="38"/>
        <v/>
      </c>
      <c r="BO27" s="15" t="str">
        <f t="shared" si="39"/>
        <v/>
      </c>
      <c r="BP27" s="15" t="str">
        <f t="shared" si="40"/>
        <v/>
      </c>
      <c r="BQ27" s="15" t="str">
        <f t="shared" si="41"/>
        <v/>
      </c>
      <c r="BR27" s="15" t="str">
        <f t="shared" si="42"/>
        <v/>
      </c>
      <c r="BS27" s="15" t="str">
        <f t="shared" si="43"/>
        <v/>
      </c>
      <c r="BT27" s="15" t="str">
        <f t="shared" si="44"/>
        <v/>
      </c>
      <c r="BU27" s="15" t="str">
        <f t="shared" si="45"/>
        <v/>
      </c>
      <c r="BV27" s="15" t="str">
        <f t="shared" si="46"/>
        <v/>
      </c>
      <c r="BW27" s="15" t="str">
        <f t="shared" si="47"/>
        <v/>
      </c>
      <c r="BX27" s="15" t="str">
        <f t="shared" si="48"/>
        <v/>
      </c>
      <c r="BY27" s="16" t="str">
        <f t="shared" si="49"/>
        <v/>
      </c>
      <c r="BZ27">
        <f t="shared" si="50"/>
        <v>0</v>
      </c>
      <c r="CB27">
        <f t="shared" si="18"/>
        <v>24</v>
      </c>
      <c r="CC27" s="2"/>
    </row>
    <row r="28" spans="1:81" x14ac:dyDescent="0.45">
      <c r="A28" t="str">
        <f>'النصاب الكامل'!AL27</f>
        <v>حسن جبار</v>
      </c>
      <c r="B28">
        <f>'النصاب الكامل'!AY27</f>
        <v>18</v>
      </c>
      <c r="C28" s="15"/>
      <c r="D28" s="2"/>
      <c r="E28" s="2">
        <v>12</v>
      </c>
      <c r="F28" s="2">
        <v>15</v>
      </c>
      <c r="G28" s="2">
        <v>22</v>
      </c>
      <c r="H28" s="16">
        <v>25</v>
      </c>
      <c r="I28" s="40">
        <v>12</v>
      </c>
      <c r="J28" s="17">
        <v>25</v>
      </c>
      <c r="K28" s="2">
        <v>15</v>
      </c>
      <c r="L28" s="2"/>
      <c r="M28" s="2"/>
      <c r="N28" s="2"/>
      <c r="O28" s="1"/>
      <c r="P28" s="40"/>
      <c r="Q28" s="15"/>
      <c r="R28" s="2">
        <v>25</v>
      </c>
      <c r="S28" s="2">
        <v>15</v>
      </c>
      <c r="T28" s="2">
        <v>12</v>
      </c>
      <c r="U28" s="2">
        <v>22</v>
      </c>
      <c r="V28" s="16">
        <v>22</v>
      </c>
      <c r="W28" s="40"/>
      <c r="X28" s="17"/>
      <c r="Y28" s="2">
        <v>22</v>
      </c>
      <c r="Z28" s="2">
        <v>12</v>
      </c>
      <c r="AA28" s="2">
        <v>15</v>
      </c>
      <c r="AB28" s="2">
        <v>25</v>
      </c>
      <c r="AC28" s="1"/>
      <c r="AD28" s="40"/>
      <c r="AE28" s="15">
        <v>15</v>
      </c>
      <c r="AF28" s="2">
        <v>25</v>
      </c>
      <c r="AG28" s="2"/>
      <c r="AH28" s="2"/>
      <c r="AI28" s="2"/>
      <c r="AJ28" s="1"/>
      <c r="AK28" s="16"/>
      <c r="AL28">
        <f t="shared" si="35"/>
        <v>336</v>
      </c>
      <c r="AO28" t="str">
        <f t="shared" si="36"/>
        <v>حسن جبار</v>
      </c>
      <c r="AP28" s="2">
        <f>'النصاب الكامل'!AM27</f>
        <v>0</v>
      </c>
      <c r="AQ28" s="2">
        <f>'النصاب الكامل'!AN27</f>
        <v>0</v>
      </c>
      <c r="AR28" s="2">
        <f>'النصاب الكامل'!AO27</f>
        <v>4</v>
      </c>
      <c r="AS28" s="2">
        <f>'النصاب الكامل'!AP27</f>
        <v>4</v>
      </c>
      <c r="AT28" s="2">
        <f>'النصاب الكامل'!AQ27</f>
        <v>0</v>
      </c>
      <c r="AU28" s="2">
        <f>'النصاب الكامل'!AR27</f>
        <v>0</v>
      </c>
      <c r="AV28" s="2">
        <f>'النصاب الكامل'!AS27</f>
        <v>0</v>
      </c>
      <c r="AW28" s="2">
        <f>'النصاب الكامل'!AT27</f>
        <v>0</v>
      </c>
      <c r="AX28" s="2">
        <f>'النصاب الكامل'!AU27</f>
        <v>5</v>
      </c>
      <c r="AY28" s="2">
        <f>'النصاب الكامل'!AV27</f>
        <v>5</v>
      </c>
      <c r="AZ28" s="2">
        <f>'النصاب الكامل'!AW27</f>
        <v>0</v>
      </c>
      <c r="BA28" s="2">
        <f>'النصاب الكامل'!AX27</f>
        <v>0</v>
      </c>
      <c r="BB28">
        <f t="shared" si="37"/>
        <v>0</v>
      </c>
      <c r="BC28">
        <f t="shared" si="37"/>
        <v>0</v>
      </c>
      <c r="BD28">
        <f t="shared" si="37"/>
        <v>4</v>
      </c>
      <c r="BE28">
        <f t="shared" si="37"/>
        <v>4</v>
      </c>
      <c r="BF28">
        <f t="shared" si="37"/>
        <v>0</v>
      </c>
      <c r="BG28">
        <f t="shared" si="37"/>
        <v>0</v>
      </c>
      <c r="BH28">
        <f t="shared" si="37"/>
        <v>0</v>
      </c>
      <c r="BI28">
        <f t="shared" si="37"/>
        <v>0</v>
      </c>
      <c r="BJ28">
        <f t="shared" si="37"/>
        <v>5</v>
      </c>
      <c r="BK28">
        <f t="shared" si="37"/>
        <v>5</v>
      </c>
      <c r="BL28">
        <f t="shared" si="37"/>
        <v>0</v>
      </c>
      <c r="BM28">
        <f t="shared" si="37"/>
        <v>0</v>
      </c>
      <c r="BN28" s="15" t="str">
        <f t="shared" si="38"/>
        <v/>
      </c>
      <c r="BO28" s="15" t="str">
        <f t="shared" si="39"/>
        <v/>
      </c>
      <c r="BP28" s="15" t="str">
        <f t="shared" si="40"/>
        <v/>
      </c>
      <c r="BQ28" s="15" t="str">
        <f t="shared" si="41"/>
        <v/>
      </c>
      <c r="BR28" s="15" t="str">
        <f t="shared" si="42"/>
        <v/>
      </c>
      <c r="BS28" s="15" t="str">
        <f t="shared" si="43"/>
        <v/>
      </c>
      <c r="BT28" s="15" t="str">
        <f t="shared" si="44"/>
        <v/>
      </c>
      <c r="BU28" s="15" t="str">
        <f t="shared" si="45"/>
        <v/>
      </c>
      <c r="BV28" s="15" t="str">
        <f t="shared" si="46"/>
        <v/>
      </c>
      <c r="BW28" s="15" t="str">
        <f t="shared" si="47"/>
        <v/>
      </c>
      <c r="BX28" s="15" t="str">
        <f t="shared" si="48"/>
        <v/>
      </c>
      <c r="BY28" s="16" t="str">
        <f t="shared" si="49"/>
        <v/>
      </c>
      <c r="BZ28">
        <f t="shared" si="50"/>
        <v>0</v>
      </c>
      <c r="CB28">
        <f t="shared" si="18"/>
        <v>25</v>
      </c>
      <c r="CC28" s="2"/>
    </row>
    <row r="29" spans="1:81" x14ac:dyDescent="0.45">
      <c r="A29" t="str">
        <f>'النصاب الكامل'!AL28</f>
        <v>موسى</v>
      </c>
      <c r="B29">
        <f>'النصاب الكامل'!AY28</f>
        <v>12</v>
      </c>
      <c r="C29" s="15">
        <v>15</v>
      </c>
      <c r="D29" s="2"/>
      <c r="E29" s="2">
        <v>25</v>
      </c>
      <c r="F29" s="2"/>
      <c r="G29" s="2"/>
      <c r="H29" s="16"/>
      <c r="I29" s="40"/>
      <c r="J29" s="17">
        <v>15</v>
      </c>
      <c r="K29" s="2">
        <v>25</v>
      </c>
      <c r="L29" s="2">
        <v>23</v>
      </c>
      <c r="M29" s="2">
        <v>13</v>
      </c>
      <c r="N29" s="2"/>
      <c r="O29" s="1"/>
      <c r="P29" s="40">
        <v>23</v>
      </c>
      <c r="Q29" s="15"/>
      <c r="R29" s="2"/>
      <c r="S29" s="2"/>
      <c r="T29" s="2">
        <v>23</v>
      </c>
      <c r="U29" s="2">
        <v>13</v>
      </c>
      <c r="V29" s="16"/>
      <c r="W29" s="40"/>
      <c r="X29" s="17"/>
      <c r="Y29" s="2"/>
      <c r="Z29" s="2">
        <v>23</v>
      </c>
      <c r="AA29" s="2"/>
      <c r="AB29" s="2"/>
      <c r="AC29" s="1"/>
      <c r="AD29" s="40">
        <v>13</v>
      </c>
      <c r="AE29" s="15"/>
      <c r="AF29" s="2">
        <v>13</v>
      </c>
      <c r="AG29" s="2"/>
      <c r="AH29" s="2"/>
      <c r="AI29" s="2"/>
      <c r="AJ29" s="1"/>
      <c r="AK29" s="16"/>
      <c r="AL29">
        <f t="shared" si="35"/>
        <v>224</v>
      </c>
      <c r="AO29" t="str">
        <f t="shared" si="36"/>
        <v>موسى</v>
      </c>
      <c r="AP29" s="2">
        <f>'النصاب الكامل'!AM28</f>
        <v>0</v>
      </c>
      <c r="AQ29" s="2">
        <f>'النصاب الكامل'!AN28</f>
        <v>0</v>
      </c>
      <c r="AR29" s="2">
        <f>'النصاب الكامل'!AO28</f>
        <v>0</v>
      </c>
      <c r="AS29" s="2">
        <f>'النصاب الكامل'!AP28</f>
        <v>0</v>
      </c>
      <c r="AT29" s="2">
        <f>'النصاب الكامل'!AQ28</f>
        <v>4</v>
      </c>
      <c r="AU29" s="2">
        <f>'النصاب الكامل'!AR28</f>
        <v>4</v>
      </c>
      <c r="AV29" s="2">
        <f>'النصاب الكامل'!AS28</f>
        <v>0</v>
      </c>
      <c r="AW29" s="2">
        <f>'النصاب الكامل'!AT28</f>
        <v>0</v>
      </c>
      <c r="AX29" s="2">
        <f>'النصاب الكامل'!AU28</f>
        <v>2</v>
      </c>
      <c r="AY29" s="2">
        <f>'النصاب الكامل'!AV28</f>
        <v>2</v>
      </c>
      <c r="AZ29" s="2">
        <f>'النصاب الكامل'!AW28</f>
        <v>0</v>
      </c>
      <c r="BA29" s="2">
        <f>'النصاب الكامل'!AX28</f>
        <v>0</v>
      </c>
      <c r="BB29">
        <f t="shared" si="37"/>
        <v>0</v>
      </c>
      <c r="BC29">
        <f t="shared" si="37"/>
        <v>0</v>
      </c>
      <c r="BD29">
        <f t="shared" si="37"/>
        <v>0</v>
      </c>
      <c r="BE29">
        <f t="shared" si="37"/>
        <v>0</v>
      </c>
      <c r="BF29">
        <f t="shared" si="37"/>
        <v>4</v>
      </c>
      <c r="BG29">
        <f t="shared" si="37"/>
        <v>4</v>
      </c>
      <c r="BH29">
        <f t="shared" si="37"/>
        <v>0</v>
      </c>
      <c r="BI29">
        <f t="shared" si="37"/>
        <v>0</v>
      </c>
      <c r="BJ29">
        <f t="shared" si="37"/>
        <v>2</v>
      </c>
      <c r="BK29">
        <f t="shared" si="37"/>
        <v>2</v>
      </c>
      <c r="BL29">
        <f t="shared" si="37"/>
        <v>0</v>
      </c>
      <c r="BM29">
        <f t="shared" si="37"/>
        <v>0</v>
      </c>
      <c r="BN29" s="15" t="str">
        <f t="shared" si="38"/>
        <v/>
      </c>
      <c r="BO29" s="15" t="str">
        <f t="shared" si="39"/>
        <v/>
      </c>
      <c r="BP29" s="15" t="str">
        <f t="shared" si="40"/>
        <v/>
      </c>
      <c r="BQ29" s="15" t="str">
        <f t="shared" si="41"/>
        <v/>
      </c>
      <c r="BR29" s="15" t="str">
        <f t="shared" si="42"/>
        <v/>
      </c>
      <c r="BS29" s="15" t="str">
        <f t="shared" si="43"/>
        <v/>
      </c>
      <c r="BT29" s="15" t="str">
        <f t="shared" si="44"/>
        <v/>
      </c>
      <c r="BU29" s="15" t="str">
        <f t="shared" si="45"/>
        <v/>
      </c>
      <c r="BV29" s="15" t="str">
        <f t="shared" si="46"/>
        <v/>
      </c>
      <c r="BW29" s="15" t="str">
        <f t="shared" si="47"/>
        <v/>
      </c>
      <c r="BX29" s="15" t="str">
        <f t="shared" si="48"/>
        <v/>
      </c>
      <c r="BY29" s="16" t="str">
        <f t="shared" si="49"/>
        <v/>
      </c>
      <c r="BZ29">
        <f t="shared" si="50"/>
        <v>0</v>
      </c>
      <c r="CB29">
        <f t="shared" si="18"/>
        <v>26</v>
      </c>
      <c r="CC29" s="2"/>
    </row>
    <row r="30" spans="1:81" x14ac:dyDescent="0.45">
      <c r="A30" t="str">
        <f>'النصاب الكامل'!AL29</f>
        <v>مهدي</v>
      </c>
      <c r="B30">
        <f>'النصاب الكامل'!AY29</f>
        <v>10</v>
      </c>
      <c r="C30" s="15">
        <v>13</v>
      </c>
      <c r="D30" s="2">
        <v>23</v>
      </c>
      <c r="E30" s="2">
        <v>15</v>
      </c>
      <c r="F30" s="2">
        <v>25</v>
      </c>
      <c r="G30" s="2"/>
      <c r="H30" s="16"/>
      <c r="I30" s="40"/>
      <c r="J30" s="17"/>
      <c r="K30" s="2"/>
      <c r="L30" s="2"/>
      <c r="M30" s="2">
        <v>25</v>
      </c>
      <c r="N30" s="2">
        <v>15</v>
      </c>
      <c r="O30" s="1"/>
      <c r="P30" s="40"/>
      <c r="Q30" s="15"/>
      <c r="R30" s="2"/>
      <c r="S30" s="2"/>
      <c r="T30" s="2">
        <v>25</v>
      </c>
      <c r="U30" s="2">
        <v>15</v>
      </c>
      <c r="V30" s="16"/>
      <c r="W30" s="40"/>
      <c r="X30" s="17"/>
      <c r="Y30" s="2"/>
      <c r="Z30" s="2"/>
      <c r="AA30" s="2"/>
      <c r="AB30" s="2">
        <v>13</v>
      </c>
      <c r="AC30" s="1"/>
      <c r="AD30" s="40"/>
      <c r="AE30" s="15"/>
      <c r="AF30" s="2">
        <v>23</v>
      </c>
      <c r="AG30" s="2"/>
      <c r="AH30" s="2"/>
      <c r="AI30" s="2"/>
      <c r="AJ30" s="1"/>
      <c r="AK30" s="16"/>
      <c r="AL30">
        <f t="shared" si="35"/>
        <v>192</v>
      </c>
      <c r="AO30" t="str">
        <f t="shared" si="36"/>
        <v>مهدي</v>
      </c>
      <c r="AP30" s="2">
        <f>'النصاب الكامل'!AM29</f>
        <v>0</v>
      </c>
      <c r="AQ30" s="2">
        <f>'النصاب الكامل'!AN29</f>
        <v>0</v>
      </c>
      <c r="AR30" s="2">
        <f>'النصاب الكامل'!AO29</f>
        <v>0</v>
      </c>
      <c r="AS30" s="2">
        <f>'النصاب الكامل'!AP29</f>
        <v>0</v>
      </c>
      <c r="AT30" s="2">
        <f>'النصاب الكامل'!AQ29</f>
        <v>2</v>
      </c>
      <c r="AU30" s="2">
        <f>'النصاب الكامل'!AR29</f>
        <v>2</v>
      </c>
      <c r="AV30" s="2">
        <f>'النصاب الكامل'!AS29</f>
        <v>0</v>
      </c>
      <c r="AW30" s="2">
        <f>'النصاب الكامل'!AT29</f>
        <v>0</v>
      </c>
      <c r="AX30" s="2">
        <f>'النصاب الكامل'!AU29</f>
        <v>3</v>
      </c>
      <c r="AY30" s="2">
        <f>'النصاب الكامل'!AV29</f>
        <v>3</v>
      </c>
      <c r="AZ30" s="2">
        <f>'النصاب الكامل'!AW29</f>
        <v>0</v>
      </c>
      <c r="BA30" s="2">
        <f>'النصاب الكامل'!AX29</f>
        <v>0</v>
      </c>
      <c r="BB30">
        <f t="shared" ref="BB30:BD32" si="51">COUNTIF($C30:$AK30,BB$3)</f>
        <v>0</v>
      </c>
      <c r="BC30">
        <f t="shared" si="51"/>
        <v>0</v>
      </c>
      <c r="BD30">
        <f t="shared" si="51"/>
        <v>0</v>
      </c>
      <c r="BE30">
        <f t="shared" ref="BE30:BM32" si="52">COUNTIF($C30:$AK30,BE$3)</f>
        <v>0</v>
      </c>
      <c r="BF30">
        <f t="shared" si="52"/>
        <v>2</v>
      </c>
      <c r="BG30">
        <f t="shared" si="52"/>
        <v>2</v>
      </c>
      <c r="BH30">
        <f t="shared" si="52"/>
        <v>0</v>
      </c>
      <c r="BI30">
        <f t="shared" si="52"/>
        <v>0</v>
      </c>
      <c r="BJ30">
        <f t="shared" si="52"/>
        <v>3</v>
      </c>
      <c r="BK30">
        <f t="shared" si="52"/>
        <v>3</v>
      </c>
      <c r="BL30">
        <f t="shared" si="52"/>
        <v>0</v>
      </c>
      <c r="BM30">
        <f t="shared" si="52"/>
        <v>0</v>
      </c>
      <c r="BN30" s="15" t="str">
        <f t="shared" si="38"/>
        <v/>
      </c>
      <c r="BO30" s="15" t="str">
        <f t="shared" si="39"/>
        <v/>
      </c>
      <c r="BP30" s="15" t="str">
        <f t="shared" si="40"/>
        <v/>
      </c>
      <c r="BQ30" s="15" t="str">
        <f t="shared" si="41"/>
        <v/>
      </c>
      <c r="BR30" s="15" t="str">
        <f t="shared" si="42"/>
        <v/>
      </c>
      <c r="BS30" s="15" t="str">
        <f t="shared" si="43"/>
        <v/>
      </c>
      <c r="BT30" s="15" t="str">
        <f t="shared" si="44"/>
        <v/>
      </c>
      <c r="BU30" s="15" t="str">
        <f t="shared" si="45"/>
        <v/>
      </c>
      <c r="BV30" s="15" t="str">
        <f t="shared" si="46"/>
        <v/>
      </c>
      <c r="BW30" s="15" t="str">
        <f t="shared" si="47"/>
        <v/>
      </c>
      <c r="BX30" s="15" t="str">
        <f t="shared" si="48"/>
        <v/>
      </c>
      <c r="BY30" s="16" t="str">
        <f t="shared" si="49"/>
        <v/>
      </c>
      <c r="BZ30">
        <f t="shared" si="50"/>
        <v>0</v>
      </c>
      <c r="CB30">
        <f t="shared" si="18"/>
        <v>27</v>
      </c>
    </row>
    <row r="31" spans="1:81" x14ac:dyDescent="0.45">
      <c r="A31" t="str">
        <f>'النصاب الكامل'!AL30</f>
        <v>ناصر</v>
      </c>
      <c r="B31">
        <f>'النصاب الكامل'!AY30</f>
        <v>16</v>
      </c>
      <c r="C31" s="15"/>
      <c r="D31" s="2"/>
      <c r="E31" s="2">
        <v>23</v>
      </c>
      <c r="F31" s="2">
        <v>23</v>
      </c>
      <c r="G31" s="2">
        <v>15</v>
      </c>
      <c r="H31" s="16"/>
      <c r="I31" s="40">
        <v>25</v>
      </c>
      <c r="J31" s="17"/>
      <c r="K31" s="2">
        <v>23</v>
      </c>
      <c r="L31" s="2"/>
      <c r="M31" s="2"/>
      <c r="N31" s="2"/>
      <c r="O31" s="1">
        <v>25</v>
      </c>
      <c r="P31" s="40">
        <v>15</v>
      </c>
      <c r="Q31" s="15">
        <v>25</v>
      </c>
      <c r="R31" s="2">
        <v>15</v>
      </c>
      <c r="S31" s="2">
        <v>23</v>
      </c>
      <c r="T31" s="2"/>
      <c r="U31" s="2"/>
      <c r="V31" s="16"/>
      <c r="W31" s="40"/>
      <c r="X31" s="17">
        <v>25</v>
      </c>
      <c r="Y31" s="2">
        <v>15</v>
      </c>
      <c r="Z31" s="2"/>
      <c r="AA31" s="2"/>
      <c r="AB31" s="2"/>
      <c r="AC31" s="1"/>
      <c r="AD31" s="40"/>
      <c r="AE31" s="15"/>
      <c r="AF31" s="2"/>
      <c r="AG31" s="2"/>
      <c r="AH31" s="2">
        <v>15</v>
      </c>
      <c r="AI31" s="2">
        <v>25</v>
      </c>
      <c r="AJ31" s="1">
        <v>23</v>
      </c>
      <c r="AK31" s="16">
        <v>23</v>
      </c>
      <c r="AL31">
        <f t="shared" si="35"/>
        <v>338</v>
      </c>
      <c r="AO31" t="str">
        <f t="shared" si="36"/>
        <v>ناصر</v>
      </c>
      <c r="AP31" s="2">
        <f>'النصاب الكامل'!AM30</f>
        <v>0</v>
      </c>
      <c r="AQ31" s="2">
        <f>'النصاب الكامل'!AN30</f>
        <v>0</v>
      </c>
      <c r="AR31" s="2">
        <f>'النصاب الكامل'!AO30</f>
        <v>0</v>
      </c>
      <c r="AS31" s="2">
        <f>'النصاب الكامل'!AP30</f>
        <v>0</v>
      </c>
      <c r="AT31" s="2">
        <f>'النصاب الكامل'!AQ30</f>
        <v>0</v>
      </c>
      <c r="AU31" s="2">
        <f>'النصاب الكامل'!AR30</f>
        <v>6</v>
      </c>
      <c r="AV31" s="2">
        <f>'النصاب الكامل'!AS30</f>
        <v>0</v>
      </c>
      <c r="AW31" s="2">
        <f>'النصاب الكامل'!AT30</f>
        <v>0</v>
      </c>
      <c r="AX31" s="2">
        <f>'النصاب الكامل'!AU30</f>
        <v>5</v>
      </c>
      <c r="AY31" s="2">
        <f>'النصاب الكامل'!AV30</f>
        <v>5</v>
      </c>
      <c r="AZ31" s="2">
        <f>'النصاب الكامل'!AW30</f>
        <v>0</v>
      </c>
      <c r="BA31" s="2">
        <f>'النصاب الكامل'!AX30</f>
        <v>0</v>
      </c>
      <c r="BB31">
        <f t="shared" si="51"/>
        <v>0</v>
      </c>
      <c r="BC31">
        <f t="shared" si="51"/>
        <v>0</v>
      </c>
      <c r="BD31">
        <f t="shared" si="51"/>
        <v>0</v>
      </c>
      <c r="BE31">
        <f t="shared" si="52"/>
        <v>0</v>
      </c>
      <c r="BF31">
        <f t="shared" si="52"/>
        <v>0</v>
      </c>
      <c r="BG31">
        <f t="shared" si="52"/>
        <v>6</v>
      </c>
      <c r="BH31">
        <f t="shared" si="52"/>
        <v>0</v>
      </c>
      <c r="BI31">
        <f t="shared" si="52"/>
        <v>0</v>
      </c>
      <c r="BJ31">
        <f t="shared" si="52"/>
        <v>5</v>
      </c>
      <c r="BK31">
        <f t="shared" si="52"/>
        <v>5</v>
      </c>
      <c r="BL31">
        <f t="shared" si="52"/>
        <v>0</v>
      </c>
      <c r="BM31">
        <f t="shared" si="52"/>
        <v>0</v>
      </c>
      <c r="BN31" s="15" t="str">
        <f t="shared" si="38"/>
        <v/>
      </c>
      <c r="BO31" s="15" t="str">
        <f t="shared" si="39"/>
        <v/>
      </c>
      <c r="BP31" s="15" t="str">
        <f t="shared" si="40"/>
        <v/>
      </c>
      <c r="BQ31" s="15" t="str">
        <f t="shared" si="41"/>
        <v/>
      </c>
      <c r="BR31" s="15" t="str">
        <f t="shared" si="42"/>
        <v/>
      </c>
      <c r="BS31" s="15" t="str">
        <f t="shared" si="43"/>
        <v/>
      </c>
      <c r="BT31" s="15" t="str">
        <f t="shared" si="44"/>
        <v/>
      </c>
      <c r="BU31" s="15" t="str">
        <f t="shared" si="45"/>
        <v/>
      </c>
      <c r="BV31" s="15" t="str">
        <f t="shared" si="46"/>
        <v/>
      </c>
      <c r="BW31" s="15" t="str">
        <f t="shared" si="47"/>
        <v/>
      </c>
      <c r="BX31" s="15" t="str">
        <f t="shared" si="48"/>
        <v/>
      </c>
      <c r="BY31" s="16" t="str">
        <f t="shared" si="49"/>
        <v/>
      </c>
      <c r="BZ31">
        <f t="shared" si="50"/>
        <v>0</v>
      </c>
      <c r="CB31">
        <f t="shared" si="18"/>
        <v>28</v>
      </c>
    </row>
    <row r="32" spans="1:81" ht="14.65" thickBot="1" x14ac:dyDescent="0.5">
      <c r="A32" t="str">
        <f>'النصاب الكامل'!AL31</f>
        <v>خالد الخالدي</v>
      </c>
      <c r="B32">
        <f>'النصاب الكامل'!AY31</f>
        <v>16</v>
      </c>
      <c r="C32" s="41">
        <v>16</v>
      </c>
      <c r="D32" s="42"/>
      <c r="E32" s="42">
        <v>26</v>
      </c>
      <c r="F32" s="42">
        <v>16</v>
      </c>
      <c r="G32" s="42"/>
      <c r="H32" s="43"/>
      <c r="I32" s="44"/>
      <c r="J32" s="17">
        <v>16</v>
      </c>
      <c r="K32" s="2"/>
      <c r="L32" s="2"/>
      <c r="M32" s="2"/>
      <c r="N32" s="2">
        <v>16</v>
      </c>
      <c r="O32" s="1">
        <v>26</v>
      </c>
      <c r="P32" s="44">
        <v>26</v>
      </c>
      <c r="Q32" s="41">
        <v>16</v>
      </c>
      <c r="R32" s="42">
        <v>26</v>
      </c>
      <c r="S32" s="42">
        <v>26</v>
      </c>
      <c r="T32" s="42"/>
      <c r="U32" s="42"/>
      <c r="V32" s="43"/>
      <c r="W32" s="44"/>
      <c r="X32" s="17">
        <v>26</v>
      </c>
      <c r="Y32" s="2">
        <v>16</v>
      </c>
      <c r="Z32" s="2"/>
      <c r="AA32" s="2"/>
      <c r="AB32" s="2"/>
      <c r="AC32" s="1"/>
      <c r="AD32" s="44"/>
      <c r="AE32" s="41"/>
      <c r="AF32" s="42"/>
      <c r="AG32" s="42">
        <v>26</v>
      </c>
      <c r="AH32" s="42">
        <v>26</v>
      </c>
      <c r="AI32" s="42">
        <v>16</v>
      </c>
      <c r="AJ32" s="63">
        <v>16</v>
      </c>
      <c r="AK32" s="43"/>
      <c r="AL32">
        <f t="shared" si="35"/>
        <v>336</v>
      </c>
      <c r="AO32" t="str">
        <f t="shared" si="36"/>
        <v>خالد الخالدي</v>
      </c>
      <c r="AP32" s="2">
        <f>'النصاب الكامل'!AM31</f>
        <v>0</v>
      </c>
      <c r="AQ32" s="2">
        <f>'النصاب الكامل'!AN31</f>
        <v>0</v>
      </c>
      <c r="AR32" s="2">
        <f>'النصاب الكامل'!AO31</f>
        <v>0</v>
      </c>
      <c r="AS32" s="2">
        <f>'النصاب الكامل'!AP31</f>
        <v>0</v>
      </c>
      <c r="AT32" s="2">
        <f>'النصاب الكامل'!AQ31</f>
        <v>0</v>
      </c>
      <c r="AU32" s="2">
        <f>'النصاب الكامل'!AR31</f>
        <v>0</v>
      </c>
      <c r="AV32" s="2">
        <f>'النصاب الكامل'!AS31</f>
        <v>0</v>
      </c>
      <c r="AW32" s="2">
        <f>'النصاب الكامل'!AT31</f>
        <v>0</v>
      </c>
      <c r="AX32" s="2">
        <f>'النصاب الكامل'!AU31</f>
        <v>0</v>
      </c>
      <c r="AY32" s="2">
        <f>'النصاب الكامل'!AV31</f>
        <v>0</v>
      </c>
      <c r="AZ32" s="2">
        <f>'النصاب الكامل'!AW31</f>
        <v>8</v>
      </c>
      <c r="BA32" s="2">
        <f>'النصاب الكامل'!AX31</f>
        <v>8</v>
      </c>
      <c r="BB32">
        <f t="shared" si="51"/>
        <v>0</v>
      </c>
      <c r="BC32">
        <f t="shared" si="51"/>
        <v>0</v>
      </c>
      <c r="BD32">
        <f t="shared" si="51"/>
        <v>0</v>
      </c>
      <c r="BE32">
        <f t="shared" si="52"/>
        <v>0</v>
      </c>
      <c r="BF32">
        <f t="shared" si="52"/>
        <v>0</v>
      </c>
      <c r="BG32">
        <f t="shared" si="52"/>
        <v>0</v>
      </c>
      <c r="BH32">
        <f t="shared" si="52"/>
        <v>0</v>
      </c>
      <c r="BI32">
        <f t="shared" si="52"/>
        <v>0</v>
      </c>
      <c r="BJ32">
        <f t="shared" si="52"/>
        <v>0</v>
      </c>
      <c r="BK32">
        <f t="shared" si="52"/>
        <v>0</v>
      </c>
      <c r="BL32">
        <f t="shared" si="52"/>
        <v>8</v>
      </c>
      <c r="BM32">
        <f t="shared" si="52"/>
        <v>8</v>
      </c>
      <c r="BN32" s="15" t="str">
        <f t="shared" si="38"/>
        <v/>
      </c>
      <c r="BO32" s="15" t="str">
        <f t="shared" si="39"/>
        <v/>
      </c>
      <c r="BP32" s="15" t="str">
        <f t="shared" si="40"/>
        <v/>
      </c>
      <c r="BQ32" s="15" t="str">
        <f t="shared" si="41"/>
        <v/>
      </c>
      <c r="BR32" s="15" t="str">
        <f t="shared" si="42"/>
        <v/>
      </c>
      <c r="BS32" s="15" t="str">
        <f t="shared" si="43"/>
        <v/>
      </c>
      <c r="BT32" s="15" t="str">
        <f t="shared" si="44"/>
        <v/>
      </c>
      <c r="BU32" s="15" t="str">
        <f t="shared" si="45"/>
        <v/>
      </c>
      <c r="BV32" s="15" t="str">
        <f t="shared" si="46"/>
        <v/>
      </c>
      <c r="BW32" s="15" t="str">
        <f t="shared" si="47"/>
        <v/>
      </c>
      <c r="BX32" s="15" t="str">
        <f t="shared" si="48"/>
        <v/>
      </c>
      <c r="BY32" s="16" t="str">
        <f t="shared" si="49"/>
        <v/>
      </c>
      <c r="BZ32">
        <f t="shared" si="50"/>
        <v>0</v>
      </c>
      <c r="CB32">
        <f t="shared" si="18"/>
        <v>29</v>
      </c>
    </row>
    <row r="33" spans="2:71" ht="14.65" thickTop="1" x14ac:dyDescent="0.45">
      <c r="C33">
        <f t="shared" ref="C33:AI33" si="53">COUNT(C4:C32)</f>
        <v>11</v>
      </c>
      <c r="D33">
        <f t="shared" si="53"/>
        <v>11</v>
      </c>
      <c r="E33">
        <f t="shared" si="53"/>
        <v>11</v>
      </c>
      <c r="F33">
        <f t="shared" si="53"/>
        <v>11</v>
      </c>
      <c r="G33">
        <f t="shared" si="53"/>
        <v>11</v>
      </c>
      <c r="H33">
        <f t="shared" si="53"/>
        <v>11</v>
      </c>
      <c r="I33">
        <f t="shared" si="53"/>
        <v>11</v>
      </c>
      <c r="J33">
        <f t="shared" si="53"/>
        <v>11</v>
      </c>
      <c r="K33">
        <f t="shared" si="53"/>
        <v>11</v>
      </c>
      <c r="L33">
        <f t="shared" si="53"/>
        <v>11</v>
      </c>
      <c r="M33">
        <f t="shared" si="53"/>
        <v>11</v>
      </c>
      <c r="N33">
        <f t="shared" si="53"/>
        <v>11</v>
      </c>
      <c r="O33">
        <f t="shared" si="53"/>
        <v>11</v>
      </c>
      <c r="P33">
        <f t="shared" si="53"/>
        <v>11</v>
      </c>
      <c r="Q33">
        <f t="shared" si="53"/>
        <v>11</v>
      </c>
      <c r="R33">
        <f t="shared" si="53"/>
        <v>11</v>
      </c>
      <c r="S33">
        <f t="shared" si="53"/>
        <v>11</v>
      </c>
      <c r="T33">
        <f t="shared" si="53"/>
        <v>11</v>
      </c>
      <c r="U33">
        <f t="shared" si="53"/>
        <v>11</v>
      </c>
      <c r="V33">
        <f t="shared" si="53"/>
        <v>11</v>
      </c>
      <c r="W33">
        <f t="shared" si="53"/>
        <v>5</v>
      </c>
      <c r="X33">
        <f t="shared" si="53"/>
        <v>11</v>
      </c>
      <c r="Y33">
        <f t="shared" si="53"/>
        <v>11</v>
      </c>
      <c r="Z33">
        <f t="shared" si="53"/>
        <v>11</v>
      </c>
      <c r="AA33">
        <f t="shared" si="53"/>
        <v>11</v>
      </c>
      <c r="AB33">
        <f t="shared" si="53"/>
        <v>11</v>
      </c>
      <c r="AC33">
        <f t="shared" si="53"/>
        <v>11</v>
      </c>
      <c r="AD33">
        <f t="shared" si="53"/>
        <v>5</v>
      </c>
      <c r="AE33">
        <f t="shared" si="53"/>
        <v>11</v>
      </c>
      <c r="AF33">
        <f t="shared" si="53"/>
        <v>11</v>
      </c>
      <c r="AG33">
        <f t="shared" si="53"/>
        <v>11</v>
      </c>
      <c r="AH33">
        <f t="shared" si="53"/>
        <v>11</v>
      </c>
      <c r="AI33">
        <f t="shared" si="53"/>
        <v>11</v>
      </c>
      <c r="AJ33">
        <f t="shared" ref="AJ33:AK33" si="54">COUNT(AJ4:AJ32)</f>
        <v>11</v>
      </c>
      <c r="AK33">
        <f t="shared" si="54"/>
        <v>5</v>
      </c>
      <c r="BR33" s="21">
        <f>SUM(BR4:BR32)</f>
        <v>0</v>
      </c>
      <c r="BS33" s="21">
        <f>SUM(BS4:BS32)</f>
        <v>0</v>
      </c>
    </row>
    <row r="34" spans="2:71" x14ac:dyDescent="0.45">
      <c r="C34">
        <f t="shared" ref="C34:AI34" si="55">SUM(C4:C32)</f>
        <v>201</v>
      </c>
      <c r="D34">
        <f t="shared" si="55"/>
        <v>201</v>
      </c>
      <c r="E34">
        <f t="shared" si="55"/>
        <v>201</v>
      </c>
      <c r="F34">
        <f t="shared" si="55"/>
        <v>201</v>
      </c>
      <c r="G34">
        <f t="shared" si="55"/>
        <v>201</v>
      </c>
      <c r="H34">
        <f t="shared" si="55"/>
        <v>201</v>
      </c>
      <c r="I34">
        <f t="shared" si="55"/>
        <v>201</v>
      </c>
      <c r="J34">
        <f t="shared" si="55"/>
        <v>201</v>
      </c>
      <c r="K34">
        <f t="shared" si="55"/>
        <v>201</v>
      </c>
      <c r="L34">
        <f t="shared" si="55"/>
        <v>201</v>
      </c>
      <c r="M34">
        <f t="shared" si="55"/>
        <v>201</v>
      </c>
      <c r="N34">
        <f t="shared" si="55"/>
        <v>201</v>
      </c>
      <c r="O34">
        <f t="shared" si="55"/>
        <v>201</v>
      </c>
      <c r="P34">
        <f t="shared" si="55"/>
        <v>201</v>
      </c>
      <c r="Q34">
        <f t="shared" si="55"/>
        <v>201</v>
      </c>
      <c r="R34">
        <f t="shared" si="55"/>
        <v>201</v>
      </c>
      <c r="S34">
        <f t="shared" si="55"/>
        <v>201</v>
      </c>
      <c r="T34">
        <f t="shared" si="55"/>
        <v>201</v>
      </c>
      <c r="U34">
        <f t="shared" si="55"/>
        <v>201</v>
      </c>
      <c r="V34">
        <f t="shared" si="55"/>
        <v>201</v>
      </c>
      <c r="W34">
        <f t="shared" si="55"/>
        <v>81</v>
      </c>
      <c r="X34">
        <f t="shared" si="55"/>
        <v>201</v>
      </c>
      <c r="Y34">
        <f t="shared" si="55"/>
        <v>201</v>
      </c>
      <c r="Z34">
        <f t="shared" si="55"/>
        <v>201</v>
      </c>
      <c r="AA34">
        <f t="shared" si="55"/>
        <v>201</v>
      </c>
      <c r="AB34">
        <f t="shared" si="55"/>
        <v>201</v>
      </c>
      <c r="AC34">
        <f t="shared" si="55"/>
        <v>201</v>
      </c>
      <c r="AD34">
        <f t="shared" si="55"/>
        <v>81</v>
      </c>
      <c r="AE34">
        <f t="shared" si="55"/>
        <v>201</v>
      </c>
      <c r="AF34">
        <f t="shared" si="55"/>
        <v>201</v>
      </c>
      <c r="AG34">
        <f t="shared" si="55"/>
        <v>201</v>
      </c>
      <c r="AH34">
        <f t="shared" si="55"/>
        <v>201</v>
      </c>
      <c r="AI34">
        <f t="shared" si="55"/>
        <v>201</v>
      </c>
      <c r="AJ34">
        <f t="shared" ref="AJ34:AK34" si="56">SUM(AJ4:AJ32)</f>
        <v>201</v>
      </c>
      <c r="AK34">
        <f t="shared" si="56"/>
        <v>81</v>
      </c>
    </row>
    <row r="35" spans="2:71" x14ac:dyDescent="0.45">
      <c r="C35">
        <f>222-C34</f>
        <v>21</v>
      </c>
      <c r="D35">
        <f t="shared" ref="D35:AA35" si="57">222-D34</f>
        <v>21</v>
      </c>
      <c r="E35">
        <f t="shared" si="57"/>
        <v>21</v>
      </c>
      <c r="F35">
        <f t="shared" si="57"/>
        <v>21</v>
      </c>
      <c r="G35">
        <f t="shared" si="57"/>
        <v>21</v>
      </c>
      <c r="H35">
        <f t="shared" si="57"/>
        <v>21</v>
      </c>
      <c r="I35">
        <f t="shared" ref="I35" si="58">222-I34</f>
        <v>21</v>
      </c>
      <c r="J35">
        <f t="shared" si="57"/>
        <v>21</v>
      </c>
      <c r="K35">
        <f t="shared" si="57"/>
        <v>21</v>
      </c>
      <c r="L35">
        <f t="shared" si="57"/>
        <v>21</v>
      </c>
      <c r="M35">
        <f t="shared" si="57"/>
        <v>21</v>
      </c>
      <c r="N35">
        <f t="shared" si="57"/>
        <v>21</v>
      </c>
      <c r="O35">
        <f t="shared" si="57"/>
        <v>21</v>
      </c>
      <c r="P35">
        <f t="shared" ref="P35" si="59">222-P34</f>
        <v>21</v>
      </c>
      <c r="Q35">
        <f t="shared" si="57"/>
        <v>21</v>
      </c>
      <c r="R35">
        <f>222-R34</f>
        <v>21</v>
      </c>
      <c r="S35">
        <f t="shared" si="57"/>
        <v>21</v>
      </c>
      <c r="T35">
        <f t="shared" si="57"/>
        <v>21</v>
      </c>
      <c r="U35">
        <f t="shared" si="57"/>
        <v>21</v>
      </c>
      <c r="V35">
        <f t="shared" si="57"/>
        <v>21</v>
      </c>
      <c r="W35">
        <f t="shared" ref="W35" si="60">222-W34</f>
        <v>141</v>
      </c>
      <c r="X35">
        <f t="shared" si="57"/>
        <v>21</v>
      </c>
      <c r="Y35">
        <f t="shared" si="57"/>
        <v>21</v>
      </c>
      <c r="Z35">
        <f t="shared" si="57"/>
        <v>21</v>
      </c>
      <c r="AA35">
        <f t="shared" si="57"/>
        <v>21</v>
      </c>
      <c r="AB35">
        <f t="shared" ref="AB35:AI35" si="61">222-AB34</f>
        <v>21</v>
      </c>
      <c r="AC35">
        <f t="shared" si="61"/>
        <v>21</v>
      </c>
      <c r="AD35">
        <f t="shared" ref="AD35" si="62">222-AD34</f>
        <v>141</v>
      </c>
      <c r="AE35">
        <f t="shared" si="61"/>
        <v>21</v>
      </c>
      <c r="AF35">
        <f t="shared" si="61"/>
        <v>21</v>
      </c>
      <c r="AG35">
        <f t="shared" si="61"/>
        <v>21</v>
      </c>
      <c r="AH35">
        <f t="shared" si="61"/>
        <v>21</v>
      </c>
      <c r="AI35">
        <f t="shared" si="61"/>
        <v>21</v>
      </c>
      <c r="AJ35">
        <f t="shared" ref="AJ35:AK35" si="63">222-AJ34</f>
        <v>21</v>
      </c>
      <c r="AK35">
        <f t="shared" si="63"/>
        <v>141</v>
      </c>
    </row>
    <row r="36" spans="2:71" x14ac:dyDescent="0.45">
      <c r="B36">
        <f>'النصاب الكامل'!AY34</f>
        <v>0</v>
      </c>
      <c r="C36" s="15"/>
      <c r="D36" s="2"/>
      <c r="E36" s="2"/>
      <c r="F36" s="2"/>
      <c r="G36" s="2"/>
      <c r="H36" s="16"/>
      <c r="I36" s="37"/>
      <c r="J36" s="17"/>
      <c r="K36" s="2"/>
      <c r="L36" s="2"/>
      <c r="M36" s="2"/>
      <c r="N36" s="2"/>
      <c r="O36" s="1"/>
      <c r="P36" s="37"/>
      <c r="Q36" s="15"/>
      <c r="R36" s="2"/>
      <c r="S36" s="2"/>
      <c r="T36" s="2"/>
      <c r="U36" s="2"/>
      <c r="V36" s="16"/>
      <c r="W36" s="37"/>
      <c r="X36" s="17"/>
      <c r="Y36" s="2"/>
      <c r="Z36" s="2"/>
      <c r="AA36" s="2"/>
      <c r="AB36" s="2"/>
      <c r="AC36" s="1"/>
      <c r="AD36" s="37"/>
      <c r="AE36" s="15"/>
      <c r="AF36" s="2"/>
      <c r="AG36" s="2"/>
      <c r="AH36" s="2"/>
      <c r="AI36" s="2"/>
      <c r="AJ36" s="2"/>
      <c r="AK36" s="2"/>
    </row>
    <row r="37" spans="2:71" x14ac:dyDescent="0.45">
      <c r="B37">
        <v>11</v>
      </c>
      <c r="C37">
        <f t="shared" ref="C37:H37" si="64">COUNTIF(C4:C32,$B$37)</f>
        <v>1</v>
      </c>
      <c r="D37">
        <f t="shared" si="64"/>
        <v>1</v>
      </c>
      <c r="E37">
        <f t="shared" si="64"/>
        <v>1</v>
      </c>
      <c r="F37">
        <f t="shared" si="64"/>
        <v>1</v>
      </c>
      <c r="G37">
        <f t="shared" si="64"/>
        <v>1</v>
      </c>
      <c r="H37">
        <f t="shared" si="64"/>
        <v>1</v>
      </c>
      <c r="J37">
        <f t="shared" ref="J37:O37" si="65">COUNTIF(J4:J32,$B$37)</f>
        <v>1</v>
      </c>
      <c r="K37">
        <f t="shared" si="65"/>
        <v>1</v>
      </c>
      <c r="L37">
        <f t="shared" si="65"/>
        <v>1</v>
      </c>
      <c r="M37">
        <f t="shared" si="65"/>
        <v>1</v>
      </c>
      <c r="N37">
        <f t="shared" si="65"/>
        <v>1</v>
      </c>
      <c r="O37">
        <f t="shared" si="65"/>
        <v>1</v>
      </c>
      <c r="Q37">
        <f t="shared" ref="Q37:V37" si="66">COUNTIF(Q4:Q32,$B$37)</f>
        <v>1</v>
      </c>
      <c r="R37">
        <f t="shared" si="66"/>
        <v>1</v>
      </c>
      <c r="S37">
        <f t="shared" si="66"/>
        <v>1</v>
      </c>
      <c r="T37">
        <f t="shared" si="66"/>
        <v>1</v>
      </c>
      <c r="U37">
        <f t="shared" si="66"/>
        <v>1</v>
      </c>
      <c r="V37">
        <f t="shared" si="66"/>
        <v>1</v>
      </c>
      <c r="X37">
        <f t="shared" ref="X37:AC37" si="67">COUNTIF(X4:X32,$B$37)</f>
        <v>1</v>
      </c>
      <c r="Y37">
        <f t="shared" si="67"/>
        <v>1</v>
      </c>
      <c r="Z37">
        <f t="shared" si="67"/>
        <v>1</v>
      </c>
      <c r="AA37">
        <f t="shared" si="67"/>
        <v>1</v>
      </c>
      <c r="AB37">
        <f t="shared" si="67"/>
        <v>1</v>
      </c>
      <c r="AC37">
        <f t="shared" si="67"/>
        <v>1</v>
      </c>
      <c r="AE37">
        <f t="shared" ref="AE37:AM37" si="68">COUNTIF(AE4:AE32,$B$37)</f>
        <v>1</v>
      </c>
      <c r="AF37">
        <f t="shared" si="68"/>
        <v>1</v>
      </c>
      <c r="AG37">
        <f t="shared" si="68"/>
        <v>1</v>
      </c>
      <c r="AH37">
        <f t="shared" si="68"/>
        <v>1</v>
      </c>
      <c r="AI37">
        <f t="shared" si="68"/>
        <v>1</v>
      </c>
      <c r="AJ37">
        <f t="shared" ref="AJ37:AK37" si="69">COUNTIF(AJ4:AJ32,$B$37)</f>
        <v>1</v>
      </c>
      <c r="AK37">
        <f t="shared" si="69"/>
        <v>1</v>
      </c>
      <c r="AL37">
        <f t="shared" si="68"/>
        <v>0</v>
      </c>
      <c r="AM37">
        <f t="shared" si="68"/>
        <v>0</v>
      </c>
    </row>
    <row r="38" spans="2:71" x14ac:dyDescent="0.45">
      <c r="B38">
        <v>21</v>
      </c>
      <c r="C38">
        <f t="shared" ref="C38:H38" si="70">COUNTIF(C4:C32,$B$38)</f>
        <v>0</v>
      </c>
      <c r="D38">
        <f t="shared" si="70"/>
        <v>0</v>
      </c>
      <c r="E38">
        <f t="shared" si="70"/>
        <v>0</v>
      </c>
      <c r="F38">
        <f t="shared" si="70"/>
        <v>0</v>
      </c>
      <c r="G38">
        <f t="shared" si="70"/>
        <v>0</v>
      </c>
      <c r="H38">
        <f t="shared" si="70"/>
        <v>0</v>
      </c>
      <c r="J38">
        <f t="shared" ref="J38:O38" si="71">COUNTIF(J4:J32,$B$38)</f>
        <v>0</v>
      </c>
      <c r="K38">
        <f t="shared" si="71"/>
        <v>0</v>
      </c>
      <c r="L38">
        <f t="shared" si="71"/>
        <v>0</v>
      </c>
      <c r="M38">
        <f t="shared" si="71"/>
        <v>0</v>
      </c>
      <c r="N38">
        <f t="shared" si="71"/>
        <v>0</v>
      </c>
      <c r="O38">
        <f t="shared" si="71"/>
        <v>0</v>
      </c>
      <c r="Q38">
        <f t="shared" ref="Q38:V38" si="72">COUNTIF(Q4:Q32,$B$38)</f>
        <v>0</v>
      </c>
      <c r="R38">
        <f t="shared" si="72"/>
        <v>0</v>
      </c>
      <c r="S38">
        <f t="shared" si="72"/>
        <v>0</v>
      </c>
      <c r="T38">
        <f t="shared" si="72"/>
        <v>0</v>
      </c>
      <c r="U38">
        <f t="shared" si="72"/>
        <v>0</v>
      </c>
      <c r="V38">
        <f t="shared" si="72"/>
        <v>0</v>
      </c>
      <c r="X38">
        <f t="shared" ref="X38:AC38" si="73">COUNTIF(X4:X32,$B$38)</f>
        <v>0</v>
      </c>
      <c r="Y38">
        <f t="shared" si="73"/>
        <v>0</v>
      </c>
      <c r="Z38">
        <f t="shared" si="73"/>
        <v>0</v>
      </c>
      <c r="AA38">
        <f t="shared" si="73"/>
        <v>0</v>
      </c>
      <c r="AB38">
        <f t="shared" si="73"/>
        <v>0</v>
      </c>
      <c r="AC38">
        <f t="shared" si="73"/>
        <v>0</v>
      </c>
      <c r="AE38">
        <f t="shared" ref="AE38:AI38" si="74">COUNTIF(AE4:AE32,$B$38)</f>
        <v>0</v>
      </c>
      <c r="AF38">
        <f t="shared" si="74"/>
        <v>0</v>
      </c>
      <c r="AG38">
        <f t="shared" si="74"/>
        <v>0</v>
      </c>
      <c r="AH38">
        <f t="shared" si="74"/>
        <v>0</v>
      </c>
      <c r="AI38">
        <f t="shared" si="74"/>
        <v>0</v>
      </c>
      <c r="AJ38">
        <f t="shared" ref="AJ38:AK38" si="75">COUNTIF(AJ4:AJ32,$B$38)</f>
        <v>0</v>
      </c>
      <c r="AK38">
        <f t="shared" si="75"/>
        <v>0</v>
      </c>
    </row>
    <row r="39" spans="2:71" x14ac:dyDescent="0.45">
      <c r="B39">
        <v>12</v>
      </c>
      <c r="C39">
        <f t="shared" ref="C39:H39" si="76">COUNTIF(C4:C32,$B$39)</f>
        <v>1</v>
      </c>
      <c r="D39">
        <f t="shared" si="76"/>
        <v>1</v>
      </c>
      <c r="E39">
        <f t="shared" si="76"/>
        <v>1</v>
      </c>
      <c r="F39">
        <f t="shared" si="76"/>
        <v>1</v>
      </c>
      <c r="G39">
        <f t="shared" si="76"/>
        <v>1</v>
      </c>
      <c r="H39">
        <f t="shared" si="76"/>
        <v>1</v>
      </c>
      <c r="J39">
        <f t="shared" ref="J39:O39" si="77">COUNTIF(J4:J32,$B$39)</f>
        <v>1</v>
      </c>
      <c r="K39">
        <f t="shared" si="77"/>
        <v>1</v>
      </c>
      <c r="L39">
        <f t="shared" si="77"/>
        <v>1</v>
      </c>
      <c r="M39">
        <f t="shared" si="77"/>
        <v>1</v>
      </c>
      <c r="N39">
        <f t="shared" si="77"/>
        <v>1</v>
      </c>
      <c r="O39">
        <f t="shared" si="77"/>
        <v>1</v>
      </c>
      <c r="Q39">
        <f t="shared" ref="Q39:V39" si="78">COUNTIF(Q4:Q32,$B$39)</f>
        <v>1</v>
      </c>
      <c r="R39">
        <f t="shared" si="78"/>
        <v>1</v>
      </c>
      <c r="S39">
        <f t="shared" si="78"/>
        <v>1</v>
      </c>
      <c r="T39">
        <f t="shared" si="78"/>
        <v>1</v>
      </c>
      <c r="U39">
        <f t="shared" si="78"/>
        <v>1</v>
      </c>
      <c r="V39">
        <f t="shared" si="78"/>
        <v>1</v>
      </c>
      <c r="X39">
        <f t="shared" ref="X39:AC39" si="79">COUNTIF(X4:X32,$B$39)</f>
        <v>1</v>
      </c>
      <c r="Y39">
        <f t="shared" si="79"/>
        <v>1</v>
      </c>
      <c r="Z39">
        <f t="shared" si="79"/>
        <v>1</v>
      </c>
      <c r="AA39">
        <f t="shared" si="79"/>
        <v>1</v>
      </c>
      <c r="AB39">
        <f t="shared" si="79"/>
        <v>1</v>
      </c>
      <c r="AC39">
        <f t="shared" si="79"/>
        <v>1</v>
      </c>
      <c r="AE39">
        <f t="shared" ref="AE39:AI39" si="80">COUNTIF(AE4:AE32,$B$39)</f>
        <v>1</v>
      </c>
      <c r="AF39">
        <f t="shared" si="80"/>
        <v>1</v>
      </c>
      <c r="AG39">
        <f t="shared" si="80"/>
        <v>1</v>
      </c>
      <c r="AH39">
        <f t="shared" si="80"/>
        <v>1</v>
      </c>
      <c r="AI39">
        <f t="shared" si="80"/>
        <v>1</v>
      </c>
      <c r="AJ39">
        <f t="shared" ref="AJ39:AK39" si="81">COUNTIF(AJ4:AJ32,$B$39)</f>
        <v>1</v>
      </c>
      <c r="AK39">
        <f t="shared" si="81"/>
        <v>1</v>
      </c>
    </row>
    <row r="40" spans="2:71" x14ac:dyDescent="0.45">
      <c r="B40">
        <v>22</v>
      </c>
      <c r="C40">
        <f t="shared" ref="C40:H40" si="82">COUNTIF(C4:C32,$B$40)</f>
        <v>1</v>
      </c>
      <c r="D40">
        <f t="shared" si="82"/>
        <v>1</v>
      </c>
      <c r="E40">
        <f t="shared" si="82"/>
        <v>1</v>
      </c>
      <c r="F40">
        <f t="shared" si="82"/>
        <v>1</v>
      </c>
      <c r="G40">
        <f t="shared" si="82"/>
        <v>1</v>
      </c>
      <c r="H40">
        <f t="shared" si="82"/>
        <v>1</v>
      </c>
      <c r="J40">
        <f t="shared" ref="J40:O40" si="83">COUNTIF(J4:J32,$B$40)</f>
        <v>1</v>
      </c>
      <c r="K40">
        <f t="shared" si="83"/>
        <v>1</v>
      </c>
      <c r="L40">
        <f t="shared" si="83"/>
        <v>1</v>
      </c>
      <c r="M40">
        <f t="shared" si="83"/>
        <v>1</v>
      </c>
      <c r="N40">
        <f t="shared" si="83"/>
        <v>1</v>
      </c>
      <c r="O40">
        <f t="shared" si="83"/>
        <v>1</v>
      </c>
      <c r="Q40">
        <f t="shared" ref="Q40:V40" si="84">COUNTIF(Q4:Q32,$B$40)</f>
        <v>1</v>
      </c>
      <c r="R40">
        <f t="shared" si="84"/>
        <v>1</v>
      </c>
      <c r="S40">
        <f t="shared" si="84"/>
        <v>1</v>
      </c>
      <c r="T40">
        <f t="shared" si="84"/>
        <v>1</v>
      </c>
      <c r="U40">
        <f t="shared" si="84"/>
        <v>1</v>
      </c>
      <c r="V40">
        <f t="shared" si="84"/>
        <v>1</v>
      </c>
      <c r="X40">
        <f t="shared" ref="X40:AC40" si="85">COUNTIF(X4:X32,$B$40)</f>
        <v>1</v>
      </c>
      <c r="Y40">
        <f t="shared" si="85"/>
        <v>1</v>
      </c>
      <c r="Z40">
        <f t="shared" si="85"/>
        <v>1</v>
      </c>
      <c r="AA40">
        <f t="shared" si="85"/>
        <v>1</v>
      </c>
      <c r="AB40">
        <f t="shared" si="85"/>
        <v>1</v>
      </c>
      <c r="AC40">
        <f t="shared" si="85"/>
        <v>1</v>
      </c>
      <c r="AE40">
        <f t="shared" ref="AE40:AI40" si="86">COUNTIF(AE4:AE32,$B$40)</f>
        <v>1</v>
      </c>
      <c r="AF40">
        <f t="shared" si="86"/>
        <v>1</v>
      </c>
      <c r="AG40">
        <f t="shared" si="86"/>
        <v>1</v>
      </c>
      <c r="AH40">
        <f t="shared" si="86"/>
        <v>1</v>
      </c>
      <c r="AI40">
        <f t="shared" si="86"/>
        <v>1</v>
      </c>
      <c r="AJ40">
        <f t="shared" ref="AJ40:AK40" si="87">COUNTIF(AJ4:AJ32,$B$40)</f>
        <v>1</v>
      </c>
      <c r="AK40">
        <f t="shared" si="87"/>
        <v>1</v>
      </c>
    </row>
    <row r="41" spans="2:71" x14ac:dyDescent="0.45">
      <c r="B41">
        <v>13</v>
      </c>
      <c r="C41">
        <f t="shared" ref="C41:H41" si="88">COUNTIF(C4:C32,$B$41)</f>
        <v>1</v>
      </c>
      <c r="D41">
        <f t="shared" si="88"/>
        <v>1</v>
      </c>
      <c r="E41">
        <f t="shared" si="88"/>
        <v>1</v>
      </c>
      <c r="F41">
        <f t="shared" si="88"/>
        <v>1</v>
      </c>
      <c r="G41">
        <f t="shared" si="88"/>
        <v>1</v>
      </c>
      <c r="H41">
        <f t="shared" si="88"/>
        <v>1</v>
      </c>
      <c r="J41">
        <f t="shared" ref="J41:O41" si="89">COUNTIF(J4:J32,$B$41)</f>
        <v>1</v>
      </c>
      <c r="K41">
        <f t="shared" si="89"/>
        <v>1</v>
      </c>
      <c r="L41">
        <f t="shared" si="89"/>
        <v>1</v>
      </c>
      <c r="M41">
        <f t="shared" si="89"/>
        <v>1</v>
      </c>
      <c r="N41">
        <f t="shared" si="89"/>
        <v>1</v>
      </c>
      <c r="O41">
        <f t="shared" si="89"/>
        <v>1</v>
      </c>
      <c r="Q41">
        <f t="shared" ref="Q41:V41" si="90">COUNTIF(Q4:Q32,$B$41)</f>
        <v>1</v>
      </c>
      <c r="R41">
        <f t="shared" si="90"/>
        <v>1</v>
      </c>
      <c r="S41">
        <f t="shared" si="90"/>
        <v>1</v>
      </c>
      <c r="T41">
        <f t="shared" si="90"/>
        <v>1</v>
      </c>
      <c r="U41">
        <f t="shared" si="90"/>
        <v>1</v>
      </c>
      <c r="V41">
        <f t="shared" si="90"/>
        <v>1</v>
      </c>
      <c r="X41">
        <f t="shared" ref="X41:AC41" si="91">COUNTIF(X4:X32,$B$41)</f>
        <v>1</v>
      </c>
      <c r="Y41">
        <f t="shared" si="91"/>
        <v>1</v>
      </c>
      <c r="Z41">
        <f t="shared" si="91"/>
        <v>1</v>
      </c>
      <c r="AA41">
        <f t="shared" si="91"/>
        <v>1</v>
      </c>
      <c r="AB41">
        <f t="shared" si="91"/>
        <v>1</v>
      </c>
      <c r="AC41">
        <f t="shared" si="91"/>
        <v>1</v>
      </c>
      <c r="AE41">
        <f t="shared" ref="AE41:AI41" si="92">COUNTIF(AE4:AE32,$B$41)</f>
        <v>1</v>
      </c>
      <c r="AF41">
        <f t="shared" si="92"/>
        <v>1</v>
      </c>
      <c r="AG41">
        <f t="shared" si="92"/>
        <v>1</v>
      </c>
      <c r="AH41">
        <f t="shared" si="92"/>
        <v>1</v>
      </c>
      <c r="AI41">
        <f t="shared" si="92"/>
        <v>1</v>
      </c>
      <c r="AJ41">
        <f t="shared" ref="AJ41:AK41" si="93">COUNTIF(AJ4:AJ32,$B$41)</f>
        <v>1</v>
      </c>
      <c r="AK41">
        <f t="shared" si="93"/>
        <v>1</v>
      </c>
    </row>
    <row r="42" spans="2:71" x14ac:dyDescent="0.45">
      <c r="B42">
        <v>23</v>
      </c>
      <c r="C42">
        <f t="shared" ref="C42:H42" si="94">COUNTIF(C4:C32,$B$42)</f>
        <v>1</v>
      </c>
      <c r="D42">
        <f t="shared" si="94"/>
        <v>1</v>
      </c>
      <c r="E42">
        <f t="shared" si="94"/>
        <v>1</v>
      </c>
      <c r="F42">
        <f t="shared" si="94"/>
        <v>1</v>
      </c>
      <c r="G42">
        <f t="shared" si="94"/>
        <v>1</v>
      </c>
      <c r="H42">
        <f t="shared" si="94"/>
        <v>1</v>
      </c>
      <c r="J42">
        <f t="shared" ref="J42:O42" si="95">COUNTIF(J4:J32,$B$42)</f>
        <v>1</v>
      </c>
      <c r="K42">
        <f t="shared" si="95"/>
        <v>1</v>
      </c>
      <c r="L42">
        <f t="shared" si="95"/>
        <v>1</v>
      </c>
      <c r="M42">
        <f t="shared" si="95"/>
        <v>1</v>
      </c>
      <c r="N42">
        <f t="shared" si="95"/>
        <v>1</v>
      </c>
      <c r="O42">
        <f t="shared" si="95"/>
        <v>1</v>
      </c>
      <c r="Q42">
        <f t="shared" ref="Q42:V42" si="96">COUNTIF(Q4:Q32,$B$42)</f>
        <v>1</v>
      </c>
      <c r="R42">
        <f t="shared" si="96"/>
        <v>1</v>
      </c>
      <c r="S42">
        <f t="shared" si="96"/>
        <v>1</v>
      </c>
      <c r="T42">
        <f t="shared" si="96"/>
        <v>1</v>
      </c>
      <c r="U42">
        <f t="shared" si="96"/>
        <v>1</v>
      </c>
      <c r="V42">
        <f t="shared" si="96"/>
        <v>1</v>
      </c>
      <c r="X42">
        <f t="shared" ref="X42:AC42" si="97">COUNTIF(X4:X32,$B$42)</f>
        <v>1</v>
      </c>
      <c r="Y42">
        <f t="shared" si="97"/>
        <v>1</v>
      </c>
      <c r="Z42">
        <f t="shared" si="97"/>
        <v>1</v>
      </c>
      <c r="AA42">
        <f t="shared" si="97"/>
        <v>1</v>
      </c>
      <c r="AB42">
        <f t="shared" si="97"/>
        <v>1</v>
      </c>
      <c r="AC42">
        <f t="shared" si="97"/>
        <v>1</v>
      </c>
      <c r="AE42">
        <f t="shared" ref="AE42:AI42" si="98">COUNTIF(AE4:AE32,$B$42)</f>
        <v>1</v>
      </c>
      <c r="AF42">
        <f t="shared" si="98"/>
        <v>1</v>
      </c>
      <c r="AG42">
        <f t="shared" si="98"/>
        <v>1</v>
      </c>
      <c r="AH42">
        <f t="shared" si="98"/>
        <v>1</v>
      </c>
      <c r="AI42">
        <f t="shared" si="98"/>
        <v>1</v>
      </c>
      <c r="AJ42">
        <f t="shared" ref="AJ42:AK42" si="99">COUNTIF(AJ4:AJ32,$B$42)</f>
        <v>1</v>
      </c>
      <c r="AK42">
        <f t="shared" si="99"/>
        <v>1</v>
      </c>
    </row>
    <row r="43" spans="2:71" x14ac:dyDescent="0.45">
      <c r="B43">
        <v>14</v>
      </c>
      <c r="C43">
        <f t="shared" ref="C43:H43" si="100">COUNTIF(C4:C32,$B$43)</f>
        <v>1</v>
      </c>
      <c r="D43">
        <f t="shared" si="100"/>
        <v>1</v>
      </c>
      <c r="E43">
        <f t="shared" si="100"/>
        <v>1</v>
      </c>
      <c r="F43">
        <f t="shared" si="100"/>
        <v>1</v>
      </c>
      <c r="G43">
        <f t="shared" si="100"/>
        <v>1</v>
      </c>
      <c r="H43">
        <f t="shared" si="100"/>
        <v>1</v>
      </c>
      <c r="J43">
        <f t="shared" ref="J43:O43" si="101">COUNTIF(J4:J32,$B$43)</f>
        <v>1</v>
      </c>
      <c r="K43">
        <f t="shared" si="101"/>
        <v>1</v>
      </c>
      <c r="L43">
        <f t="shared" si="101"/>
        <v>1</v>
      </c>
      <c r="M43">
        <f t="shared" si="101"/>
        <v>1</v>
      </c>
      <c r="N43">
        <f t="shared" si="101"/>
        <v>1</v>
      </c>
      <c r="O43">
        <f t="shared" si="101"/>
        <v>1</v>
      </c>
      <c r="Q43">
        <f t="shared" ref="Q43:V43" si="102">COUNTIF(Q4:Q32,$B$43)</f>
        <v>1</v>
      </c>
      <c r="R43">
        <f t="shared" si="102"/>
        <v>1</v>
      </c>
      <c r="S43">
        <f t="shared" si="102"/>
        <v>1</v>
      </c>
      <c r="T43">
        <f t="shared" si="102"/>
        <v>1</v>
      </c>
      <c r="U43">
        <f t="shared" si="102"/>
        <v>1</v>
      </c>
      <c r="V43">
        <f t="shared" si="102"/>
        <v>1</v>
      </c>
      <c r="X43">
        <f t="shared" ref="X43:AC43" si="103">COUNTIF(X4:X32,$B$43)</f>
        <v>1</v>
      </c>
      <c r="Y43">
        <f t="shared" si="103"/>
        <v>1</v>
      </c>
      <c r="Z43">
        <f t="shared" si="103"/>
        <v>1</v>
      </c>
      <c r="AA43">
        <f t="shared" si="103"/>
        <v>1</v>
      </c>
      <c r="AB43">
        <f t="shared" si="103"/>
        <v>1</v>
      </c>
      <c r="AC43">
        <f t="shared" si="103"/>
        <v>1</v>
      </c>
      <c r="AE43">
        <f t="shared" ref="AE43:AI43" si="104">COUNTIF(AE4:AE32,$B$43)</f>
        <v>1</v>
      </c>
      <c r="AF43">
        <f t="shared" si="104"/>
        <v>1</v>
      </c>
      <c r="AG43">
        <f t="shared" si="104"/>
        <v>1</v>
      </c>
      <c r="AH43">
        <f t="shared" si="104"/>
        <v>1</v>
      </c>
      <c r="AI43">
        <f t="shared" si="104"/>
        <v>1</v>
      </c>
      <c r="AJ43">
        <f t="shared" ref="AJ43:AK43" si="105">COUNTIF(AJ4:AJ32,$B$43)</f>
        <v>1</v>
      </c>
      <c r="AK43">
        <f t="shared" si="105"/>
        <v>0</v>
      </c>
    </row>
    <row r="44" spans="2:71" x14ac:dyDescent="0.45">
      <c r="B44">
        <v>24</v>
      </c>
      <c r="C44">
        <f t="shared" ref="C44:H44" si="106">COUNTIF(C4:C32,$B$44)</f>
        <v>1</v>
      </c>
      <c r="D44">
        <f t="shared" si="106"/>
        <v>1</v>
      </c>
      <c r="E44">
        <f t="shared" si="106"/>
        <v>1</v>
      </c>
      <c r="F44">
        <f t="shared" si="106"/>
        <v>1</v>
      </c>
      <c r="G44">
        <f t="shared" si="106"/>
        <v>1</v>
      </c>
      <c r="H44">
        <f t="shared" si="106"/>
        <v>1</v>
      </c>
      <c r="J44">
        <f t="shared" ref="J44:O44" si="107">COUNTIF(J4:J32,$B$44)</f>
        <v>1</v>
      </c>
      <c r="K44">
        <f t="shared" si="107"/>
        <v>1</v>
      </c>
      <c r="L44">
        <f t="shared" si="107"/>
        <v>1</v>
      </c>
      <c r="M44">
        <f t="shared" si="107"/>
        <v>1</v>
      </c>
      <c r="N44">
        <f t="shared" si="107"/>
        <v>1</v>
      </c>
      <c r="O44">
        <f t="shared" si="107"/>
        <v>1</v>
      </c>
      <c r="Q44">
        <f t="shared" ref="Q44:V44" si="108">COUNTIF(Q4:Q32,$B$44)</f>
        <v>1</v>
      </c>
      <c r="R44">
        <f t="shared" si="108"/>
        <v>1</v>
      </c>
      <c r="S44">
        <f t="shared" si="108"/>
        <v>1</v>
      </c>
      <c r="T44">
        <f t="shared" si="108"/>
        <v>1</v>
      </c>
      <c r="U44">
        <f t="shared" si="108"/>
        <v>1</v>
      </c>
      <c r="V44">
        <f t="shared" si="108"/>
        <v>1</v>
      </c>
      <c r="X44">
        <f t="shared" ref="X44:AC44" si="109">COUNTIF(X4:X32,$B$44)</f>
        <v>1</v>
      </c>
      <c r="Y44">
        <f t="shared" si="109"/>
        <v>1</v>
      </c>
      <c r="Z44">
        <f t="shared" si="109"/>
        <v>1</v>
      </c>
      <c r="AA44">
        <f t="shared" si="109"/>
        <v>1</v>
      </c>
      <c r="AB44">
        <f t="shared" si="109"/>
        <v>1</v>
      </c>
      <c r="AC44">
        <f t="shared" si="109"/>
        <v>1</v>
      </c>
      <c r="AE44">
        <f t="shared" ref="AE44:AI44" si="110">COUNTIF(AE4:AE32,$B$44)</f>
        <v>1</v>
      </c>
      <c r="AF44">
        <f t="shared" si="110"/>
        <v>1</v>
      </c>
      <c r="AG44">
        <f t="shared" si="110"/>
        <v>1</v>
      </c>
      <c r="AH44">
        <f t="shared" si="110"/>
        <v>1</v>
      </c>
      <c r="AI44">
        <f t="shared" si="110"/>
        <v>1</v>
      </c>
      <c r="AJ44">
        <f t="shared" ref="AJ44:AK44" si="111">COUNTIF(AJ4:AJ32,$B$44)</f>
        <v>1</v>
      </c>
      <c r="AK44">
        <f t="shared" si="111"/>
        <v>0</v>
      </c>
    </row>
    <row r="45" spans="2:71" x14ac:dyDescent="0.45">
      <c r="B45">
        <v>15</v>
      </c>
      <c r="C45">
        <f t="shared" ref="C45:H45" si="112">COUNTIF(C4:C32,$B$45)</f>
        <v>1</v>
      </c>
      <c r="D45">
        <f t="shared" si="112"/>
        <v>1</v>
      </c>
      <c r="E45">
        <f t="shared" si="112"/>
        <v>1</v>
      </c>
      <c r="F45">
        <f t="shared" si="112"/>
        <v>1</v>
      </c>
      <c r="G45">
        <f t="shared" si="112"/>
        <v>1</v>
      </c>
      <c r="H45">
        <f t="shared" si="112"/>
        <v>1</v>
      </c>
      <c r="J45">
        <f t="shared" ref="J45:O45" si="113">COUNTIF(J4:J32,$B$45)</f>
        <v>1</v>
      </c>
      <c r="K45">
        <f t="shared" si="113"/>
        <v>1</v>
      </c>
      <c r="L45">
        <f t="shared" si="113"/>
        <v>1</v>
      </c>
      <c r="M45">
        <f t="shared" si="113"/>
        <v>1</v>
      </c>
      <c r="N45">
        <f t="shared" si="113"/>
        <v>1</v>
      </c>
      <c r="O45">
        <f t="shared" si="113"/>
        <v>1</v>
      </c>
      <c r="Q45">
        <f t="shared" ref="Q45:V45" si="114">COUNTIF(Q4:Q32,$B$45)</f>
        <v>1</v>
      </c>
      <c r="R45">
        <f t="shared" si="114"/>
        <v>1</v>
      </c>
      <c r="S45">
        <f t="shared" si="114"/>
        <v>1</v>
      </c>
      <c r="T45">
        <f t="shared" si="114"/>
        <v>1</v>
      </c>
      <c r="U45">
        <f t="shared" si="114"/>
        <v>1</v>
      </c>
      <c r="V45">
        <f t="shared" si="114"/>
        <v>1</v>
      </c>
      <c r="X45">
        <f t="shared" ref="X45:AC45" si="115">COUNTIF(X4:X32,$B$45)</f>
        <v>1</v>
      </c>
      <c r="Y45">
        <f t="shared" si="115"/>
        <v>1</v>
      </c>
      <c r="Z45">
        <f t="shared" si="115"/>
        <v>1</v>
      </c>
      <c r="AA45">
        <f t="shared" si="115"/>
        <v>1</v>
      </c>
      <c r="AB45">
        <f t="shared" si="115"/>
        <v>1</v>
      </c>
      <c r="AC45">
        <f t="shared" si="115"/>
        <v>1</v>
      </c>
      <c r="AE45">
        <f t="shared" ref="AE45:AI45" si="116">COUNTIF(AE4:AE32,$B$45)</f>
        <v>1</v>
      </c>
      <c r="AF45">
        <f t="shared" si="116"/>
        <v>1</v>
      </c>
      <c r="AG45">
        <f t="shared" si="116"/>
        <v>1</v>
      </c>
      <c r="AH45">
        <f t="shared" si="116"/>
        <v>1</v>
      </c>
      <c r="AI45">
        <f t="shared" si="116"/>
        <v>1</v>
      </c>
      <c r="AJ45">
        <f t="shared" ref="AJ45:AK45" si="117">COUNTIF(AJ4:AJ32,$B$45)</f>
        <v>1</v>
      </c>
      <c r="AK45">
        <f t="shared" si="117"/>
        <v>0</v>
      </c>
    </row>
    <row r="46" spans="2:71" x14ac:dyDescent="0.45">
      <c r="B46">
        <v>25</v>
      </c>
      <c r="C46">
        <f t="shared" ref="C46:H46" si="118">COUNTIF(C4:C32,$B$46)</f>
        <v>1</v>
      </c>
      <c r="D46">
        <f t="shared" si="118"/>
        <v>1</v>
      </c>
      <c r="E46">
        <f t="shared" si="118"/>
        <v>1</v>
      </c>
      <c r="F46">
        <f t="shared" si="118"/>
        <v>1</v>
      </c>
      <c r="G46">
        <f t="shared" si="118"/>
        <v>1</v>
      </c>
      <c r="H46">
        <f t="shared" si="118"/>
        <v>1</v>
      </c>
      <c r="J46">
        <f t="shared" ref="J46:O46" si="119">COUNTIF(J4:J32,$B$46)</f>
        <v>1</v>
      </c>
      <c r="K46">
        <f t="shared" si="119"/>
        <v>1</v>
      </c>
      <c r="L46">
        <f t="shared" si="119"/>
        <v>1</v>
      </c>
      <c r="M46">
        <f t="shared" si="119"/>
        <v>1</v>
      </c>
      <c r="N46">
        <f t="shared" si="119"/>
        <v>1</v>
      </c>
      <c r="O46">
        <f t="shared" si="119"/>
        <v>1</v>
      </c>
      <c r="Q46">
        <f t="shared" ref="Q46:V46" si="120">COUNTIF(Q4:Q32,$B$46)</f>
        <v>1</v>
      </c>
      <c r="R46">
        <f t="shared" si="120"/>
        <v>1</v>
      </c>
      <c r="S46">
        <f t="shared" si="120"/>
        <v>1</v>
      </c>
      <c r="T46">
        <f t="shared" si="120"/>
        <v>1</v>
      </c>
      <c r="U46">
        <f t="shared" si="120"/>
        <v>1</v>
      </c>
      <c r="V46">
        <f t="shared" si="120"/>
        <v>1</v>
      </c>
      <c r="X46">
        <f t="shared" ref="X46:AC46" si="121">COUNTIF(X4:X32,$B$46)</f>
        <v>1</v>
      </c>
      <c r="Y46">
        <f t="shared" si="121"/>
        <v>1</v>
      </c>
      <c r="Z46">
        <f t="shared" si="121"/>
        <v>1</v>
      </c>
      <c r="AA46">
        <f t="shared" si="121"/>
        <v>1</v>
      </c>
      <c r="AB46">
        <f t="shared" si="121"/>
        <v>1</v>
      </c>
      <c r="AC46">
        <f t="shared" si="121"/>
        <v>1</v>
      </c>
      <c r="AE46">
        <f t="shared" ref="AE46:AI46" si="122">COUNTIF(AE4:AE32,$B$46)</f>
        <v>1</v>
      </c>
      <c r="AF46">
        <f t="shared" si="122"/>
        <v>1</v>
      </c>
      <c r="AG46">
        <f t="shared" si="122"/>
        <v>1</v>
      </c>
      <c r="AH46">
        <f t="shared" si="122"/>
        <v>1</v>
      </c>
      <c r="AI46">
        <f t="shared" si="122"/>
        <v>1</v>
      </c>
      <c r="AJ46">
        <f t="shared" ref="AJ46:AK46" si="123">COUNTIF(AJ4:AJ32,$B$46)</f>
        <v>1</v>
      </c>
      <c r="AK46">
        <f t="shared" si="123"/>
        <v>0</v>
      </c>
    </row>
    <row r="47" spans="2:71" x14ac:dyDescent="0.45">
      <c r="B47">
        <v>16</v>
      </c>
      <c r="C47">
        <f t="shared" ref="C47:H47" si="124">COUNTIF(C4:C32,$B$47)</f>
        <v>1</v>
      </c>
      <c r="D47">
        <f t="shared" si="124"/>
        <v>1</v>
      </c>
      <c r="E47">
        <f t="shared" si="124"/>
        <v>1</v>
      </c>
      <c r="F47">
        <f t="shared" si="124"/>
        <v>1</v>
      </c>
      <c r="G47">
        <f t="shared" si="124"/>
        <v>1</v>
      </c>
      <c r="H47">
        <f t="shared" si="124"/>
        <v>1</v>
      </c>
      <c r="J47">
        <f t="shared" ref="J47:O47" si="125">COUNTIF(J4:J32,$B$47)</f>
        <v>1</v>
      </c>
      <c r="K47">
        <f t="shared" si="125"/>
        <v>1</v>
      </c>
      <c r="L47">
        <f t="shared" si="125"/>
        <v>1</v>
      </c>
      <c r="M47">
        <f t="shared" si="125"/>
        <v>1</v>
      </c>
      <c r="N47">
        <f t="shared" si="125"/>
        <v>1</v>
      </c>
      <c r="O47">
        <f t="shared" si="125"/>
        <v>1</v>
      </c>
      <c r="Q47">
        <f t="shared" ref="Q47:V47" si="126">COUNTIF(Q4:Q32,$B$47)</f>
        <v>1</v>
      </c>
      <c r="R47">
        <f t="shared" si="126"/>
        <v>1</v>
      </c>
      <c r="S47">
        <f t="shared" si="126"/>
        <v>1</v>
      </c>
      <c r="T47">
        <f t="shared" si="126"/>
        <v>1</v>
      </c>
      <c r="U47">
        <f t="shared" si="126"/>
        <v>1</v>
      </c>
      <c r="V47">
        <f t="shared" si="126"/>
        <v>1</v>
      </c>
      <c r="X47">
        <f t="shared" ref="X47:AC47" si="127">COUNTIF(X4:X32,$B$47)</f>
        <v>1</v>
      </c>
      <c r="Y47">
        <f t="shared" si="127"/>
        <v>1</v>
      </c>
      <c r="Z47">
        <f t="shared" si="127"/>
        <v>1</v>
      </c>
      <c r="AA47">
        <f t="shared" si="127"/>
        <v>1</v>
      </c>
      <c r="AB47">
        <f t="shared" si="127"/>
        <v>1</v>
      </c>
      <c r="AC47">
        <f t="shared" si="127"/>
        <v>1</v>
      </c>
      <c r="AE47">
        <f t="shared" ref="AE47:AI47" si="128">COUNTIF(AE4:AE32,$B$47)</f>
        <v>1</v>
      </c>
      <c r="AF47">
        <f t="shared" si="128"/>
        <v>1</v>
      </c>
      <c r="AG47">
        <f t="shared" si="128"/>
        <v>1</v>
      </c>
      <c r="AH47">
        <f t="shared" si="128"/>
        <v>1</v>
      </c>
      <c r="AI47">
        <f t="shared" si="128"/>
        <v>1</v>
      </c>
      <c r="AJ47">
        <f t="shared" ref="AJ47:AK47" si="129">COUNTIF(AJ4:AJ32,$B$47)</f>
        <v>1</v>
      </c>
      <c r="AK47">
        <f t="shared" si="129"/>
        <v>0</v>
      </c>
    </row>
    <row r="48" spans="2:71" x14ac:dyDescent="0.45">
      <c r="B48">
        <v>26</v>
      </c>
      <c r="C48">
        <f t="shared" ref="C48:H48" si="130">COUNTIF(C4:C32,$B$48)</f>
        <v>1</v>
      </c>
      <c r="D48">
        <f t="shared" si="130"/>
        <v>1</v>
      </c>
      <c r="E48">
        <f t="shared" si="130"/>
        <v>1</v>
      </c>
      <c r="F48">
        <f t="shared" si="130"/>
        <v>1</v>
      </c>
      <c r="G48">
        <f t="shared" si="130"/>
        <v>1</v>
      </c>
      <c r="H48">
        <f t="shared" si="130"/>
        <v>1</v>
      </c>
      <c r="J48">
        <f t="shared" ref="J48:O48" si="131">COUNTIF(J4:J32,$B$48)</f>
        <v>1</v>
      </c>
      <c r="K48">
        <f t="shared" si="131"/>
        <v>1</v>
      </c>
      <c r="L48">
        <f t="shared" si="131"/>
        <v>1</v>
      </c>
      <c r="M48">
        <f t="shared" si="131"/>
        <v>1</v>
      </c>
      <c r="N48">
        <f t="shared" si="131"/>
        <v>1</v>
      </c>
      <c r="O48">
        <f t="shared" si="131"/>
        <v>1</v>
      </c>
      <c r="Q48">
        <f t="shared" ref="Q48:V48" si="132">COUNTIF(Q4:Q32,$B$48)</f>
        <v>1</v>
      </c>
      <c r="R48">
        <f t="shared" si="132"/>
        <v>1</v>
      </c>
      <c r="S48">
        <f t="shared" si="132"/>
        <v>1</v>
      </c>
      <c r="T48">
        <f t="shared" si="132"/>
        <v>1</v>
      </c>
      <c r="U48">
        <f t="shared" si="132"/>
        <v>1</v>
      </c>
      <c r="V48">
        <f t="shared" si="132"/>
        <v>1</v>
      </c>
      <c r="X48">
        <f t="shared" ref="X48:AC48" si="133">COUNTIF(X4:X32,$B$48)</f>
        <v>1</v>
      </c>
      <c r="Y48">
        <f t="shared" si="133"/>
        <v>1</v>
      </c>
      <c r="Z48">
        <f t="shared" si="133"/>
        <v>1</v>
      </c>
      <c r="AA48">
        <f t="shared" si="133"/>
        <v>1</v>
      </c>
      <c r="AB48">
        <f t="shared" si="133"/>
        <v>1</v>
      </c>
      <c r="AC48">
        <f t="shared" si="133"/>
        <v>1</v>
      </c>
      <c r="AE48">
        <f t="shared" ref="AE48:AI48" si="134">COUNTIF(AE4:AE32,$B$48)</f>
        <v>1</v>
      </c>
      <c r="AF48">
        <f t="shared" si="134"/>
        <v>1</v>
      </c>
      <c r="AG48">
        <f t="shared" si="134"/>
        <v>1</v>
      </c>
      <c r="AH48">
        <f t="shared" si="134"/>
        <v>1</v>
      </c>
      <c r="AI48">
        <f t="shared" si="134"/>
        <v>1</v>
      </c>
      <c r="AJ48">
        <f t="shared" ref="AJ48:AK48" si="135">COUNTIF(AJ4:AJ32,$B$48)</f>
        <v>1</v>
      </c>
      <c r="AK48">
        <f t="shared" si="135"/>
        <v>0</v>
      </c>
    </row>
    <row r="49" spans="3:39" x14ac:dyDescent="0.45">
      <c r="C49">
        <f>SUM(C37:C48)</f>
        <v>11</v>
      </c>
      <c r="D49">
        <f t="shared" ref="D49:AM49" si="136">SUM(D37:D48)</f>
        <v>11</v>
      </c>
      <c r="E49">
        <f t="shared" si="136"/>
        <v>11</v>
      </c>
      <c r="F49">
        <f t="shared" si="136"/>
        <v>11</v>
      </c>
      <c r="G49">
        <f t="shared" si="136"/>
        <v>11</v>
      </c>
      <c r="H49">
        <f t="shared" si="136"/>
        <v>11</v>
      </c>
      <c r="J49">
        <f t="shared" si="136"/>
        <v>11</v>
      </c>
      <c r="K49">
        <f t="shared" si="136"/>
        <v>11</v>
      </c>
      <c r="L49">
        <f t="shared" si="136"/>
        <v>11</v>
      </c>
      <c r="M49">
        <f t="shared" si="136"/>
        <v>11</v>
      </c>
      <c r="N49">
        <f t="shared" si="136"/>
        <v>11</v>
      </c>
      <c r="O49">
        <f t="shared" si="136"/>
        <v>11</v>
      </c>
      <c r="Q49">
        <f t="shared" si="136"/>
        <v>11</v>
      </c>
      <c r="R49">
        <f t="shared" si="136"/>
        <v>11</v>
      </c>
      <c r="S49">
        <f t="shared" si="136"/>
        <v>11</v>
      </c>
      <c r="T49">
        <f t="shared" si="136"/>
        <v>11</v>
      </c>
      <c r="U49">
        <f t="shared" si="136"/>
        <v>11</v>
      </c>
      <c r="V49">
        <f t="shared" si="136"/>
        <v>11</v>
      </c>
      <c r="X49">
        <f t="shared" si="136"/>
        <v>11</v>
      </c>
      <c r="Y49">
        <f t="shared" si="136"/>
        <v>11</v>
      </c>
      <c r="Z49">
        <f t="shared" si="136"/>
        <v>11</v>
      </c>
      <c r="AA49">
        <f t="shared" si="136"/>
        <v>11</v>
      </c>
      <c r="AB49">
        <f t="shared" si="136"/>
        <v>11</v>
      </c>
      <c r="AC49">
        <f t="shared" si="136"/>
        <v>11</v>
      </c>
      <c r="AE49">
        <f t="shared" si="136"/>
        <v>11</v>
      </c>
      <c r="AF49">
        <f t="shared" si="136"/>
        <v>11</v>
      </c>
      <c r="AG49">
        <f t="shared" si="136"/>
        <v>11</v>
      </c>
      <c r="AH49">
        <f t="shared" si="136"/>
        <v>11</v>
      </c>
      <c r="AI49">
        <f t="shared" si="136"/>
        <v>11</v>
      </c>
      <c r="AJ49">
        <f t="shared" ref="AJ49:AK49" si="137">SUM(AJ37:AJ48)</f>
        <v>11</v>
      </c>
      <c r="AK49">
        <f t="shared" si="137"/>
        <v>5</v>
      </c>
      <c r="AL49">
        <f t="shared" si="136"/>
        <v>0</v>
      </c>
      <c r="AM49">
        <f t="shared" si="136"/>
        <v>0</v>
      </c>
    </row>
  </sheetData>
  <mergeCells count="5">
    <mergeCell ref="C2:H2"/>
    <mergeCell ref="J2:O2"/>
    <mergeCell ref="Q2:V2"/>
    <mergeCell ref="X2:AC2"/>
    <mergeCell ref="AE2:AK2"/>
  </mergeCells>
  <conditionalFormatting sqref="C10:AF10">
    <cfRule type="cellIs" dxfId="56" priority="30" operator="equal">
      <formula>24</formula>
    </cfRule>
    <cfRule type="cellIs" dxfId="55" priority="29" operator="equal">
      <formula>15</formula>
    </cfRule>
    <cfRule type="cellIs" dxfId="54" priority="26" operator="equal">
      <formula>26</formula>
    </cfRule>
    <cfRule type="cellIs" dxfId="53" priority="27" operator="equal">
      <formula>16</formula>
    </cfRule>
    <cfRule type="cellIs" dxfId="52" priority="37" operator="equal">
      <formula>11</formula>
    </cfRule>
    <cfRule type="cellIs" dxfId="51" priority="36" operator="equal">
      <formula>21</formula>
    </cfRule>
    <cfRule type="cellIs" dxfId="50" priority="34" operator="equal">
      <formula>22</formula>
    </cfRule>
    <cfRule type="cellIs" dxfId="49" priority="35" operator="equal">
      <formula>12</formula>
    </cfRule>
    <cfRule type="cellIs" dxfId="48" priority="33" operator="equal">
      <formula>13</formula>
    </cfRule>
    <cfRule type="cellIs" dxfId="47" priority="32" operator="equal">
      <formula>23</formula>
    </cfRule>
    <cfRule type="cellIs" dxfId="46" priority="28" operator="equal">
      <formula>25</formula>
    </cfRule>
    <cfRule type="cellIs" dxfId="45" priority="31" operator="equal">
      <formula>14</formula>
    </cfRule>
  </conditionalFormatting>
  <conditionalFormatting sqref="C4:AK9">
    <cfRule type="cellIs" dxfId="44" priority="46" operator="equal">
      <formula>22</formula>
    </cfRule>
    <cfRule type="cellIs" dxfId="43" priority="47" operator="equal">
      <formula>12</formula>
    </cfRule>
    <cfRule type="cellIs" dxfId="42" priority="49" operator="equal">
      <formula>11</formula>
    </cfRule>
    <cfRule type="cellIs" dxfId="41" priority="48" operator="equal">
      <formula>21</formula>
    </cfRule>
    <cfRule type="cellIs" dxfId="40" priority="38" operator="equal">
      <formula>26</formula>
    </cfRule>
    <cfRule type="cellIs" dxfId="39" priority="39" operator="equal">
      <formula>16</formula>
    </cfRule>
    <cfRule type="cellIs" dxfId="38" priority="40" operator="equal">
      <formula>25</formula>
    </cfRule>
    <cfRule type="cellIs" dxfId="37" priority="41" operator="equal">
      <formula>15</formula>
    </cfRule>
    <cfRule type="cellIs" dxfId="36" priority="42" operator="equal">
      <formula>24</formula>
    </cfRule>
    <cfRule type="cellIs" dxfId="35" priority="43" operator="equal">
      <formula>14</formula>
    </cfRule>
    <cfRule type="cellIs" dxfId="34" priority="44" operator="equal">
      <formula>23</formula>
    </cfRule>
    <cfRule type="cellIs" dxfId="33" priority="45" operator="equal">
      <formula>13</formula>
    </cfRule>
  </conditionalFormatting>
  <conditionalFormatting sqref="C11:AK32">
    <cfRule type="cellIs" dxfId="32" priority="1" operator="equal">
      <formula>26</formula>
    </cfRule>
    <cfRule type="cellIs" dxfId="31" priority="2" operator="equal">
      <formula>16</formula>
    </cfRule>
    <cfRule type="cellIs" dxfId="30" priority="3" operator="equal">
      <formula>25</formula>
    </cfRule>
    <cfRule type="cellIs" dxfId="29" priority="4" operator="equal">
      <formula>15</formula>
    </cfRule>
    <cfRule type="cellIs" dxfId="28" priority="5" operator="equal">
      <formula>24</formula>
    </cfRule>
    <cfRule type="cellIs" dxfId="27" priority="6" operator="equal">
      <formula>14</formula>
    </cfRule>
    <cfRule type="cellIs" dxfId="26" priority="8" operator="equal">
      <formula>13</formula>
    </cfRule>
    <cfRule type="cellIs" dxfId="25" priority="9" operator="equal">
      <formula>22</formula>
    </cfRule>
    <cfRule type="cellIs" dxfId="24" priority="10" operator="equal">
      <formula>12</formula>
    </cfRule>
    <cfRule type="cellIs" dxfId="23" priority="11" operator="equal">
      <formula>21</formula>
    </cfRule>
    <cfRule type="cellIs" dxfId="22" priority="12" operator="equal">
      <formula>11</formula>
    </cfRule>
    <cfRule type="cellIs" dxfId="21" priority="7" operator="equal">
      <formula>23</formula>
    </cfRule>
  </conditionalFormatting>
  <conditionalFormatting sqref="C36:AK36">
    <cfRule type="cellIs" dxfId="20" priority="13" operator="equal">
      <formula>26</formula>
    </cfRule>
    <cfRule type="cellIs" dxfId="19" priority="14" operator="equal">
      <formula>16</formula>
    </cfRule>
    <cfRule type="cellIs" dxfId="18" priority="15" operator="equal">
      <formula>25</formula>
    </cfRule>
    <cfRule type="cellIs" dxfId="17" priority="16" operator="equal">
      <formula>15</formula>
    </cfRule>
    <cfRule type="cellIs" dxfId="16" priority="23" operator="equal">
      <formula>21</formula>
    </cfRule>
    <cfRule type="cellIs" dxfId="15" priority="21" operator="equal">
      <formula>22</formula>
    </cfRule>
    <cfRule type="cellIs" dxfId="14" priority="20" operator="equal">
      <formula>13</formula>
    </cfRule>
    <cfRule type="cellIs" dxfId="13" priority="22" operator="equal">
      <formula>12</formula>
    </cfRule>
    <cfRule type="cellIs" dxfId="12" priority="19" operator="equal">
      <formula>23</formula>
    </cfRule>
    <cfRule type="cellIs" dxfId="11" priority="18" operator="equal">
      <formula>14</formula>
    </cfRule>
    <cfRule type="cellIs" dxfId="10" priority="17" operator="equal">
      <formula>24</formula>
    </cfRule>
    <cfRule type="cellIs" dxfId="9" priority="24" operator="equal">
      <formula>11</formula>
    </cfRule>
  </conditionalFormatting>
  <conditionalFormatting sqref="C37:AK48">
    <cfRule type="cellIs" dxfId="8" priority="62" operator="lessThan">
      <formula>0</formula>
    </cfRule>
    <cfRule type="cellIs" dxfId="7" priority="63" operator="greaterThan">
      <formula>1</formula>
    </cfRule>
  </conditionalFormatting>
  <conditionalFormatting sqref="AP3 CC17:CC31">
    <cfRule type="expression" dxfId="6" priority="54">
      <formula>#REF!="ث"</formula>
    </cfRule>
    <cfRule type="expression" dxfId="5" priority="55">
      <formula>#REF!="م"</formula>
    </cfRule>
  </conditionalFormatting>
  <conditionalFormatting sqref="CA4 BN4:BY32">
    <cfRule type="cellIs" dxfId="4" priority="25" operator="lessThan">
      <formula>0</formula>
    </cfRule>
  </conditionalFormatting>
  <conditionalFormatting sqref="CD5">
    <cfRule type="cellIs" dxfId="3" priority="56" operator="lessThan">
      <formula>10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L32"/>
  <sheetViews>
    <sheetView rightToLeft="1" workbookViewId="0">
      <selection activeCell="J13" sqref="J13"/>
    </sheetView>
  </sheetViews>
  <sheetFormatPr defaultRowHeight="14.25" x14ac:dyDescent="0.45"/>
  <cols>
    <col min="1" max="1" width="2.3984375" customWidth="1"/>
    <col min="2" max="2" width="2.73046875" bestFit="1" customWidth="1"/>
    <col min="3" max="3" width="9.3984375" bestFit="1" customWidth="1"/>
    <col min="4" max="37" width="3.73046875" style="14" customWidth="1"/>
    <col min="38" max="38" width="4.265625" customWidth="1"/>
  </cols>
  <sheetData>
    <row r="1" spans="2:38" ht="14.65" thickBot="1" x14ac:dyDescent="0.5"/>
    <row r="2" spans="2:38" ht="15.75" customHeight="1" thickTop="1" thickBot="1" x14ac:dyDescent="0.5">
      <c r="D2" s="79" t="s">
        <v>35</v>
      </c>
      <c r="E2" s="80"/>
      <c r="F2" s="80"/>
      <c r="G2" s="80"/>
      <c r="H2" s="80"/>
      <c r="I2" s="81"/>
      <c r="J2" s="35"/>
      <c r="K2" s="82" t="s">
        <v>38</v>
      </c>
      <c r="L2" s="82"/>
      <c r="M2" s="82"/>
      <c r="N2" s="82"/>
      <c r="O2" s="82"/>
      <c r="P2" s="82"/>
      <c r="Q2" s="35"/>
      <c r="R2" s="79" t="s">
        <v>37</v>
      </c>
      <c r="S2" s="80"/>
      <c r="T2" s="80"/>
      <c r="U2" s="80"/>
      <c r="V2" s="80"/>
      <c r="W2" s="81"/>
      <c r="X2" s="35"/>
      <c r="Y2" s="82" t="s">
        <v>36</v>
      </c>
      <c r="Z2" s="82"/>
      <c r="AA2" s="82"/>
      <c r="AB2" s="82"/>
      <c r="AC2" s="82"/>
      <c r="AD2" s="82"/>
      <c r="AE2" s="35"/>
      <c r="AF2" s="83" t="s">
        <v>31</v>
      </c>
      <c r="AG2" s="84"/>
      <c r="AH2" s="84"/>
      <c r="AI2" s="84"/>
      <c r="AJ2" s="84"/>
      <c r="AK2" s="84"/>
      <c r="AL2" s="84"/>
    </row>
    <row r="3" spans="2:38" ht="15" thickTop="1" thickBot="1" x14ac:dyDescent="0.5">
      <c r="B3" s="24" t="s">
        <v>0</v>
      </c>
      <c r="C3" s="25" t="s">
        <v>26</v>
      </c>
      <c r="D3" s="24">
        <v>1</v>
      </c>
      <c r="E3" s="26">
        <v>2</v>
      </c>
      <c r="F3" s="26">
        <v>3</v>
      </c>
      <c r="G3" s="26">
        <v>4</v>
      </c>
      <c r="H3" s="26">
        <v>5</v>
      </c>
      <c r="I3" s="25">
        <v>6</v>
      </c>
      <c r="J3" s="36"/>
      <c r="K3" s="27">
        <v>1</v>
      </c>
      <c r="L3" s="26">
        <v>2</v>
      </c>
      <c r="M3" s="26">
        <v>3</v>
      </c>
      <c r="N3" s="26">
        <v>4</v>
      </c>
      <c r="O3" s="26">
        <v>5</v>
      </c>
      <c r="P3" s="28">
        <v>6</v>
      </c>
      <c r="Q3" s="36"/>
      <c r="R3" s="24">
        <v>1</v>
      </c>
      <c r="S3" s="26">
        <v>2</v>
      </c>
      <c r="T3" s="26">
        <v>3</v>
      </c>
      <c r="U3" s="26">
        <v>4</v>
      </c>
      <c r="V3" s="26">
        <v>5</v>
      </c>
      <c r="W3" s="25">
        <v>6</v>
      </c>
      <c r="X3" s="36"/>
      <c r="Y3" s="27">
        <v>1</v>
      </c>
      <c r="Z3" s="26">
        <v>2</v>
      </c>
      <c r="AA3" s="26">
        <v>3</v>
      </c>
      <c r="AB3" s="26">
        <v>4</v>
      </c>
      <c r="AC3" s="26">
        <v>5</v>
      </c>
      <c r="AD3" s="28">
        <v>6</v>
      </c>
      <c r="AE3" s="36"/>
      <c r="AF3" s="24">
        <v>1</v>
      </c>
      <c r="AG3" s="26">
        <v>2</v>
      </c>
      <c r="AH3" s="26">
        <v>3</v>
      </c>
      <c r="AI3" s="26">
        <v>4</v>
      </c>
      <c r="AJ3" s="26">
        <v>5</v>
      </c>
      <c r="AK3" s="25">
        <v>6</v>
      </c>
      <c r="AL3" s="25">
        <v>7</v>
      </c>
    </row>
    <row r="4" spans="2:38" ht="14.65" thickBot="1" x14ac:dyDescent="0.5">
      <c r="B4" s="29">
        <v>1</v>
      </c>
      <c r="C4" s="30" t="str">
        <f>أرقام!A4</f>
        <v>علي حسين</v>
      </c>
      <c r="D4" s="29" t="str">
        <f>IF(أرقام!C4="","",INDEX(الفصول!$A$2:$B$13,MATCH(أرقام!C4,الفصول!$A$2:$A$13,0),2))</f>
        <v/>
      </c>
      <c r="E4" s="29" t="str">
        <f>IF(أرقام!D4="","",INDEX(الفصول!$A$2:$B$13,MATCH(أرقام!D4,الفصول!$A$2:$A$13,0),2))</f>
        <v/>
      </c>
      <c r="F4" s="29" t="str">
        <f>IF(أرقام!E4="","",INDEX(الفصول!$A$2:$B$13,MATCH(أرقام!E4,الفصول!$A$2:$A$13,0),2))</f>
        <v/>
      </c>
      <c r="G4" s="29" t="str">
        <f>IF(أرقام!F4="","",INDEX(الفصول!$A$2:$B$13,MATCH(أرقام!F4,الفصول!$A$2:$A$13,0),2))</f>
        <v/>
      </c>
      <c r="H4" s="29" t="str">
        <f>IF(أرقام!G4="","",INDEX(الفصول!$A$2:$B$13,MATCH(أرقام!G4,الفصول!$A$2:$A$13,0),2))</f>
        <v>3 م أ</v>
      </c>
      <c r="I4" s="29" t="str">
        <f>IF(أرقام!H4="","",INDEX(الفصول!$A$2:$B$13,MATCH(أرقام!H4,الفصول!$A$2:$A$13,0),2))</f>
        <v>3 م ب</v>
      </c>
      <c r="J4" s="29" t="str">
        <f>IF(أرقام!I4="","",INDEX(الفصول!$A$2:$B$13,MATCH(أرقام!I4,الفصول!$A$2:$A$13,0),2))</f>
        <v>3 م ب</v>
      </c>
      <c r="K4" s="29" t="str">
        <f>IF(أرقام!J4="","",INDEX(الفصول!$A$2:$B$13,MATCH(أرقام!J4,الفصول!$A$2:$A$13,0),2))</f>
        <v/>
      </c>
      <c r="L4" s="29" t="str">
        <f>IF(أرقام!K4="","",INDEX(الفصول!$A$2:$B$13,MATCH(أرقام!K4,الفصول!$A$2:$A$13,0),2))</f>
        <v/>
      </c>
      <c r="M4" s="29" t="str">
        <f>IF(أرقام!L4="","",INDEX(الفصول!$A$2:$B$13,MATCH(أرقام!L4,الفصول!$A$2:$A$13,0),2))</f>
        <v/>
      </c>
      <c r="N4" s="29" t="str">
        <f>IF(أرقام!M4="","",INDEX(الفصول!$A$2:$B$13,MATCH(أرقام!M4,الفصول!$A$2:$A$13,0),2))</f>
        <v>3 م ب</v>
      </c>
      <c r="O4" s="29" t="str">
        <f>IF(أرقام!N4="","",INDEX(الفصول!$A$2:$B$13,MATCH(أرقام!N4,الفصول!$A$2:$A$13,0),2))</f>
        <v/>
      </c>
      <c r="P4" s="29" t="str">
        <f>IF(أرقام!O4="","",INDEX(الفصول!$A$2:$B$13,MATCH(أرقام!O4,الفصول!$A$2:$A$13,0),2))</f>
        <v/>
      </c>
      <c r="Q4" s="29" t="str">
        <f>IF(أرقام!P4="","",INDEX(الفصول!$A$2:$B$13,MATCH(أرقام!P4,الفصول!$A$2:$A$13,0),2))</f>
        <v>3 م أ</v>
      </c>
      <c r="R4" s="29" t="str">
        <f>IF(أرقام!Q4="","",INDEX(الفصول!$A$2:$B$13,MATCH(أرقام!Q4,الفصول!$A$2:$A$13,0),2))</f>
        <v/>
      </c>
      <c r="S4" s="29" t="str">
        <f>IF(أرقام!R4="","",INDEX(الفصول!$A$2:$B$13,MATCH(أرقام!R4,الفصول!$A$2:$A$13,0),2))</f>
        <v/>
      </c>
      <c r="T4" s="29" t="str">
        <f>IF(أرقام!S4="","",INDEX(الفصول!$A$2:$B$13,MATCH(أرقام!S4,الفصول!$A$2:$A$13,0),2))</f>
        <v/>
      </c>
      <c r="U4" s="29" t="str">
        <f>IF(أرقام!T4="","",INDEX(الفصول!$A$2:$B$13,MATCH(أرقام!T4,الفصول!$A$2:$A$13,0),2))</f>
        <v>3 م أ</v>
      </c>
      <c r="V4" s="29" t="str">
        <f>IF(أرقام!U4="","",INDEX(الفصول!$A$2:$B$13,MATCH(أرقام!U4,الفصول!$A$2:$A$13,0),2))</f>
        <v/>
      </c>
      <c r="W4" s="29" t="str">
        <f>IF(أرقام!V4="","",INDEX(الفصول!$A$2:$B$13,MATCH(أرقام!V4,الفصول!$A$2:$A$13,0),2))</f>
        <v>3 م ب</v>
      </c>
      <c r="X4" s="29" t="str">
        <f>IF(أرقام!W4="","",INDEX(الفصول!$A$2:$B$13,MATCH(أرقام!W4,الفصول!$A$2:$A$13,0),2))</f>
        <v/>
      </c>
      <c r="Y4" s="29" t="str">
        <f>IF(أرقام!X4="","",INDEX(الفصول!$A$2:$B$13,MATCH(أرقام!X4,الفصول!$A$2:$A$13,0),2))</f>
        <v>3 م أ</v>
      </c>
      <c r="Z4" s="29" t="str">
        <f>IF(أرقام!Y4="","",INDEX(الفصول!$A$2:$B$13,MATCH(أرقام!Y4,الفصول!$A$2:$A$13,0),2))</f>
        <v>3 م أ</v>
      </c>
      <c r="AA4" s="29" t="str">
        <f>IF(أرقام!Z4="","",INDEX(الفصول!$A$2:$B$13,MATCH(أرقام!Z4,الفصول!$A$2:$A$13,0),2))</f>
        <v/>
      </c>
      <c r="AB4" s="29" t="str">
        <f>IF(أرقام!AA4="","",INDEX(الفصول!$A$2:$B$13,MATCH(أرقام!AA4,الفصول!$A$2:$A$13,0),2))</f>
        <v/>
      </c>
      <c r="AC4" s="29" t="str">
        <f>IF(أرقام!AB4="","",INDEX(الفصول!$A$2:$B$13,MATCH(أرقام!AB4,الفصول!$A$2:$A$13,0),2))</f>
        <v>3 م ب</v>
      </c>
      <c r="AD4" s="29" t="str">
        <f>IF(أرقام!AC4="","",INDEX(الفصول!$A$2:$B$13,MATCH(أرقام!AC4,الفصول!$A$2:$A$13,0),2))</f>
        <v>3 م ب</v>
      </c>
      <c r="AE4" s="29" t="str">
        <f>IF(أرقام!AD4="","",INDEX(الفصول!$A$2:$B$13,MATCH(أرقام!AD4,الفصول!$A$2:$A$13,0),2))</f>
        <v/>
      </c>
      <c r="AF4" s="29" t="str">
        <f>IF(أرقام!AE4="","",INDEX(الفصول!$A$2:$B$13,MATCH(أرقام!AE4,الفصول!$A$2:$A$13,0),2))</f>
        <v>3 م أ</v>
      </c>
      <c r="AG4" s="29" t="str">
        <f>IF(أرقام!AF4="","",INDEX(الفصول!$A$2:$B$13,MATCH(أرقام!AF4,الفصول!$A$2:$A$13,0),2))</f>
        <v/>
      </c>
      <c r="AH4" s="29" t="str">
        <f>IF(أرقام!AG4="","",INDEX(الفصول!$A$2:$B$13,MATCH(أرقام!AG4,الفصول!$A$2:$A$13,0),2))</f>
        <v/>
      </c>
      <c r="AI4" s="29" t="str">
        <f>IF(أرقام!AH4="","",INDEX(الفصول!$A$2:$B$13,MATCH(أرقام!AH4,الفصول!$A$2:$A$13,0),2))</f>
        <v/>
      </c>
      <c r="AJ4" s="29" t="str">
        <f>IF(أرقام!AI4="","",INDEX(الفصول!$A$2:$B$13,MATCH(أرقام!AI4,الفصول!$A$2:$A$13,0),2))</f>
        <v/>
      </c>
      <c r="AK4" s="29" t="str">
        <f>IF(أرقام!AJ4="","",INDEX(الفصول!$A$2:$B$13,MATCH(أرقام!AJ4,الفصول!$A$2:$A$13,0),2))</f>
        <v/>
      </c>
      <c r="AL4" s="29" t="str">
        <f>IF(أرقام!AK4="","",INDEX(الفصول!$A$2:$B$13,MATCH(أرقام!AK4,الفصول!$A$2:$A$13,0),2))</f>
        <v/>
      </c>
    </row>
    <row r="5" spans="2:38" ht="14.65" thickBot="1" x14ac:dyDescent="0.5">
      <c r="B5" s="29">
        <f>B4+1</f>
        <v>2</v>
      </c>
      <c r="C5" s="30" t="str">
        <f>أرقام!A5</f>
        <v>خالد جابر</v>
      </c>
      <c r="D5" s="29" t="str">
        <f>IF(أرقام!C5="","",INDEX(الفصول!$A$2:$B$13,MATCH(أرقام!C5,الفصول!$A$2:$A$13,0),2))</f>
        <v>2 م ب</v>
      </c>
      <c r="E5" s="29" t="str">
        <f>IF(أرقام!D5="","",INDEX(الفصول!$A$2:$B$13,MATCH(أرقام!D5,الفصول!$A$2:$A$13,0),2))</f>
        <v/>
      </c>
      <c r="F5" s="29" t="str">
        <f>IF(أرقام!E5="","",INDEX(الفصول!$A$2:$B$13,MATCH(أرقام!E5,الفصول!$A$2:$A$13,0),2))</f>
        <v/>
      </c>
      <c r="G5" s="29" t="str">
        <f>IF(أرقام!F5="","",INDEX(الفصول!$A$2:$B$13,MATCH(أرقام!F5,الفصول!$A$2:$A$13,0),2))</f>
        <v/>
      </c>
      <c r="H5" s="29" t="str">
        <f>IF(أرقام!G5="","",INDEX(الفصول!$A$2:$B$13,MATCH(أرقام!G5,الفصول!$A$2:$A$13,0),2))</f>
        <v/>
      </c>
      <c r="I5" s="29" t="str">
        <f>IF(أرقام!H5="","",INDEX(الفصول!$A$2:$B$13,MATCH(أرقام!H5,الفصول!$A$2:$A$13,0),2))</f>
        <v/>
      </c>
      <c r="J5" s="29" t="str">
        <f>IF(أرقام!I5="","",INDEX(الفصول!$A$2:$B$13,MATCH(أرقام!I5,الفصول!$A$2:$A$13,0),2))</f>
        <v/>
      </c>
      <c r="K5" s="29" t="str">
        <f>IF(أرقام!J5="","",INDEX(الفصول!$A$2:$B$13,MATCH(أرقام!J5,الفصول!$A$2:$A$13,0),2))</f>
        <v xml:space="preserve">1 م </v>
      </c>
      <c r="L5" s="29" t="str">
        <f>IF(أرقام!K5="","",INDEX(الفصول!$A$2:$B$13,MATCH(أرقام!K5,الفصول!$A$2:$A$13,0),2))</f>
        <v/>
      </c>
      <c r="M5" s="29" t="str">
        <f>IF(أرقام!L5="","",INDEX(الفصول!$A$2:$B$13,MATCH(أرقام!L5,الفصول!$A$2:$A$13,0),2))</f>
        <v/>
      </c>
      <c r="N5" s="29" t="str">
        <f>IF(أرقام!M5="","",INDEX(الفصول!$A$2:$B$13,MATCH(أرقام!M5,الفصول!$A$2:$A$13,0),2))</f>
        <v/>
      </c>
      <c r="O5" s="29" t="str">
        <f>IF(أرقام!N5="","",INDEX(الفصول!$A$2:$B$13,MATCH(أرقام!N5,الفصول!$A$2:$A$13,0),2))</f>
        <v>2 م أ</v>
      </c>
      <c r="P5" s="29" t="str">
        <f>IF(أرقام!O5="","",INDEX(الفصول!$A$2:$B$13,MATCH(أرقام!O5,الفصول!$A$2:$A$13,0),2))</f>
        <v/>
      </c>
      <c r="Q5" s="29" t="str">
        <f>IF(أرقام!P5="","",INDEX(الفصول!$A$2:$B$13,MATCH(أرقام!P5,الفصول!$A$2:$A$13,0),2))</f>
        <v xml:space="preserve">1 م </v>
      </c>
      <c r="R5" s="29" t="str">
        <f>IF(أرقام!Q5="","",INDEX(الفصول!$A$2:$B$13,MATCH(أرقام!Q5,الفصول!$A$2:$A$13,0),2))</f>
        <v/>
      </c>
      <c r="S5" s="29" t="str">
        <f>IF(أرقام!R5="","",INDEX(الفصول!$A$2:$B$13,MATCH(أرقام!R5,الفصول!$A$2:$A$13,0),2))</f>
        <v/>
      </c>
      <c r="T5" s="29" t="str">
        <f>IF(أرقام!S5="","",INDEX(الفصول!$A$2:$B$13,MATCH(أرقام!S5,الفصول!$A$2:$A$13,0),2))</f>
        <v/>
      </c>
      <c r="U5" s="29" t="str">
        <f>IF(أرقام!T5="","",INDEX(الفصول!$A$2:$B$13,MATCH(أرقام!T5,الفصول!$A$2:$A$13,0),2))</f>
        <v xml:space="preserve">1 م </v>
      </c>
      <c r="V5" s="29" t="str">
        <f>IF(أرقام!U5="","",INDEX(الفصول!$A$2:$B$13,MATCH(أرقام!U5,الفصول!$A$2:$A$13,0),2))</f>
        <v/>
      </c>
      <c r="W5" s="29" t="str">
        <f>IF(أرقام!V5="","",INDEX(الفصول!$A$2:$B$13,MATCH(أرقام!V5,الفصول!$A$2:$A$13,0),2))</f>
        <v/>
      </c>
      <c r="X5" s="29" t="str">
        <f>IF(أرقام!W5="","",INDEX(الفصول!$A$2:$B$13,MATCH(أرقام!W5,الفصول!$A$2:$A$13,0),2))</f>
        <v xml:space="preserve">1 م </v>
      </c>
      <c r="Y5" s="29" t="str">
        <f>IF(أرقام!X5="","",INDEX(الفصول!$A$2:$B$13,MATCH(أرقام!X5,الفصول!$A$2:$A$13,0),2))</f>
        <v/>
      </c>
      <c r="Z5" s="29" t="str">
        <f>IF(أرقام!Y5="","",INDEX(الفصول!$A$2:$B$13,MATCH(أرقام!Y5,الفصول!$A$2:$A$13,0),2))</f>
        <v xml:space="preserve">1 م </v>
      </c>
      <c r="AA5" s="29" t="str">
        <f>IF(أرقام!Z5="","",INDEX(الفصول!$A$2:$B$13,MATCH(أرقام!Z5,الفصول!$A$2:$A$13,0),2))</f>
        <v/>
      </c>
      <c r="AB5" s="29" t="str">
        <f>IF(أرقام!AA5="","",INDEX(الفصول!$A$2:$B$13,MATCH(أرقام!AA5,الفصول!$A$2:$A$13,0),2))</f>
        <v/>
      </c>
      <c r="AC5" s="29" t="str">
        <f>IF(أرقام!AB5="","",INDEX(الفصول!$A$2:$B$13,MATCH(أرقام!AB5,الفصول!$A$2:$A$13,0),2))</f>
        <v/>
      </c>
      <c r="AD5" s="29" t="str">
        <f>IF(أرقام!AC5="","",INDEX(الفصول!$A$2:$B$13,MATCH(أرقام!AC5,الفصول!$A$2:$A$13,0),2))</f>
        <v/>
      </c>
      <c r="AE5" s="29" t="str">
        <f>IF(أرقام!AD5="","",INDEX(الفصول!$A$2:$B$13,MATCH(أرقام!AD5,الفصول!$A$2:$A$13,0),2))</f>
        <v/>
      </c>
      <c r="AF5" s="29" t="str">
        <f>IF(أرقام!AE5="","",INDEX(الفصول!$A$2:$B$13,MATCH(أرقام!AE5,الفصول!$A$2:$A$13,0),2))</f>
        <v/>
      </c>
      <c r="AG5" s="29" t="str">
        <f>IF(أرقام!AF5="","",INDEX(الفصول!$A$2:$B$13,MATCH(أرقام!AF5,الفصول!$A$2:$A$13,0),2))</f>
        <v xml:space="preserve">1 م </v>
      </c>
      <c r="AH5" s="29" t="str">
        <f>IF(أرقام!AG5="","",INDEX(الفصول!$A$2:$B$13,MATCH(أرقام!AG5,الفصول!$A$2:$A$13,0),2))</f>
        <v/>
      </c>
      <c r="AI5" s="29" t="str">
        <f>IF(أرقام!AH5="","",INDEX(الفصول!$A$2:$B$13,MATCH(أرقام!AH5,الفصول!$A$2:$A$13,0),2))</f>
        <v/>
      </c>
      <c r="AJ5" s="29" t="str">
        <f>IF(أرقام!AI5="","",INDEX(الفصول!$A$2:$B$13,MATCH(أرقام!AI5,الفصول!$A$2:$A$13,0),2))</f>
        <v>2 م أ</v>
      </c>
      <c r="AK5" s="29" t="str">
        <f>IF(أرقام!AJ5="","",INDEX(الفصول!$A$2:$B$13,MATCH(أرقام!AJ5,الفصول!$A$2:$A$13,0),2))</f>
        <v xml:space="preserve">1 م </v>
      </c>
      <c r="AL5" s="29" t="str">
        <f>IF(أرقام!AK5="","",INDEX(الفصول!$A$2:$B$13,MATCH(أرقام!AK5,الفصول!$A$2:$A$13,0),2))</f>
        <v>2 م ب</v>
      </c>
    </row>
    <row r="6" spans="2:38" ht="14.65" thickBot="1" x14ac:dyDescent="0.5">
      <c r="B6" s="29">
        <f t="shared" ref="B6:B32" si="0">B5+1</f>
        <v>3</v>
      </c>
      <c r="C6" s="30" t="str">
        <f>أرقام!A6</f>
        <v>فرحان علي</v>
      </c>
      <c r="D6" s="29" t="str">
        <f>IF(أرقام!C6="","",INDEX(الفصول!$A$2:$B$13,MATCH(أرقام!C6,الفصول!$A$2:$A$13,0),2))</f>
        <v>2 م أ</v>
      </c>
      <c r="E6" s="29" t="str">
        <f>IF(أرقام!D6="","",INDEX(الفصول!$A$2:$B$13,MATCH(أرقام!D6,الفصول!$A$2:$A$13,0),2))</f>
        <v/>
      </c>
      <c r="F6" s="29" t="str">
        <f>IF(أرقام!E6="","",INDEX(الفصول!$A$2:$B$13,MATCH(أرقام!E6,الفصول!$A$2:$A$13,0),2))</f>
        <v/>
      </c>
      <c r="G6" s="29" t="str">
        <f>IF(أرقام!F6="","",INDEX(الفصول!$A$2:$B$13,MATCH(أرقام!F6,الفصول!$A$2:$A$13,0),2))</f>
        <v/>
      </c>
      <c r="H6" s="29" t="str">
        <f>IF(أرقام!G6="","",INDEX(الفصول!$A$2:$B$13,MATCH(أرقام!G6,الفصول!$A$2:$A$13,0),2))</f>
        <v/>
      </c>
      <c r="I6" s="29" t="str">
        <f>IF(أرقام!H6="","",INDEX(الفصول!$A$2:$B$13,MATCH(أرقام!H6,الفصول!$A$2:$A$13,0),2))</f>
        <v/>
      </c>
      <c r="J6" s="29" t="str">
        <f>IF(أرقام!I6="","",INDEX(الفصول!$A$2:$B$13,MATCH(أرقام!I6,الفصول!$A$2:$A$13,0),2))</f>
        <v/>
      </c>
      <c r="K6" s="29" t="str">
        <f>IF(أرقام!J6="","",INDEX(الفصول!$A$2:$B$13,MATCH(أرقام!J6,الفصول!$A$2:$A$13,0),2))</f>
        <v>2 م أ</v>
      </c>
      <c r="L6" s="29" t="str">
        <f>IF(أرقام!K6="","",INDEX(الفصول!$A$2:$B$13,MATCH(أرقام!K6,الفصول!$A$2:$A$13,0),2))</f>
        <v>2 م ب</v>
      </c>
      <c r="M6" s="29" t="str">
        <f>IF(أرقام!L6="","",INDEX(الفصول!$A$2:$B$13,MATCH(أرقام!L6,الفصول!$A$2:$A$13,0),2))</f>
        <v/>
      </c>
      <c r="N6" s="29" t="str">
        <f>IF(أرقام!M6="","",INDEX(الفصول!$A$2:$B$13,MATCH(أرقام!M6,الفصول!$A$2:$A$13,0),2))</f>
        <v/>
      </c>
      <c r="O6" s="29" t="str">
        <f>IF(أرقام!N6="","",INDEX(الفصول!$A$2:$B$13,MATCH(أرقام!N6,الفصول!$A$2:$A$13,0),2))</f>
        <v/>
      </c>
      <c r="P6" s="29" t="str">
        <f>IF(أرقام!O6="","",INDEX(الفصول!$A$2:$B$13,MATCH(أرقام!O6,الفصول!$A$2:$A$13,0),2))</f>
        <v/>
      </c>
      <c r="Q6" s="29" t="str">
        <f>IF(أرقام!P6="","",INDEX(الفصول!$A$2:$B$13,MATCH(أرقام!P6,الفصول!$A$2:$A$13,0),2))</f>
        <v/>
      </c>
      <c r="R6" s="29" t="str">
        <f>IF(أرقام!Q6="","",INDEX(الفصول!$A$2:$B$13,MATCH(أرقام!Q6,الفصول!$A$2:$A$13,0),2))</f>
        <v/>
      </c>
      <c r="S6" s="29" t="str">
        <f>IF(أرقام!R6="","",INDEX(الفصول!$A$2:$B$13,MATCH(أرقام!R6,الفصول!$A$2:$A$13,0),2))</f>
        <v>3 ث أ</v>
      </c>
      <c r="T6" s="29" t="str">
        <f>IF(أرقام!S6="","",INDEX(الفصول!$A$2:$B$13,MATCH(أرقام!S6,الفصول!$A$2:$A$13,0),2))</f>
        <v/>
      </c>
      <c r="U6" s="29" t="str">
        <f>IF(أرقام!T6="","",INDEX(الفصول!$A$2:$B$13,MATCH(أرقام!T6,الفصول!$A$2:$A$13,0),2))</f>
        <v>2 م ب</v>
      </c>
      <c r="V6" s="29" t="str">
        <f>IF(أرقام!U6="","",INDEX(الفصول!$A$2:$B$13,MATCH(أرقام!U6,الفصول!$A$2:$A$13,0),2))</f>
        <v>2 م أ</v>
      </c>
      <c r="W6" s="29" t="str">
        <f>IF(أرقام!V6="","",INDEX(الفصول!$A$2:$B$13,MATCH(أرقام!V6,الفصول!$A$2:$A$13,0),2))</f>
        <v>2 م أ</v>
      </c>
      <c r="X6" s="29" t="str">
        <f>IF(أرقام!W6="","",INDEX(الفصول!$A$2:$B$13,MATCH(أرقام!W6,الفصول!$A$2:$A$13,0),2))</f>
        <v>2 م ب</v>
      </c>
      <c r="Y6" s="29" t="str">
        <f>IF(أرقام!X6="","",INDEX(الفصول!$A$2:$B$13,MATCH(أرقام!X6,الفصول!$A$2:$A$13,0),2))</f>
        <v/>
      </c>
      <c r="Z6" s="29" t="str">
        <f>IF(أرقام!Y6="","",INDEX(الفصول!$A$2:$B$13,MATCH(أرقام!Y6,الفصول!$A$2:$A$13,0),2))</f>
        <v/>
      </c>
      <c r="AA6" s="29" t="str">
        <f>IF(أرقام!Z6="","",INDEX(الفصول!$A$2:$B$13,MATCH(أرقام!Z6,الفصول!$A$2:$A$13,0),2))</f>
        <v/>
      </c>
      <c r="AB6" s="29" t="str">
        <f>IF(أرقام!AA6="","",INDEX(الفصول!$A$2:$B$13,MATCH(أرقام!AA6,الفصول!$A$2:$A$13,0),2))</f>
        <v>3 ث ب</v>
      </c>
      <c r="AC6" s="29" t="str">
        <f>IF(أرقام!AB6="","",INDEX(الفصول!$A$2:$B$13,MATCH(أرقام!AB6,الفصول!$A$2:$A$13,0),2))</f>
        <v>2 م ب</v>
      </c>
      <c r="AD6" s="29" t="str">
        <f>IF(أرقام!AC6="","",INDEX(الفصول!$A$2:$B$13,MATCH(أرقام!AC6,الفصول!$A$2:$A$13,0),2))</f>
        <v>3 ث أ</v>
      </c>
      <c r="AE6" s="29" t="str">
        <f>IF(أرقام!AD6="","",INDEX(الفصول!$A$2:$B$13,MATCH(أرقام!AD6,الفصول!$A$2:$A$13,0),2))</f>
        <v>2 م أ</v>
      </c>
      <c r="AF6" s="29" t="str">
        <f>IF(أرقام!AE6="","",INDEX(الفصول!$A$2:$B$13,MATCH(أرقام!AE6,الفصول!$A$2:$A$13,0),2))</f>
        <v/>
      </c>
      <c r="AG6" s="29" t="str">
        <f>IF(أرقام!AF6="","",INDEX(الفصول!$A$2:$B$13,MATCH(أرقام!AF6,الفصول!$A$2:$A$13,0),2))</f>
        <v/>
      </c>
      <c r="AH6" s="29" t="str">
        <f>IF(أرقام!AG6="","",INDEX(الفصول!$A$2:$B$13,MATCH(أرقام!AG6,الفصول!$A$2:$A$13,0),2))</f>
        <v/>
      </c>
      <c r="AI6" s="29" t="str">
        <f>IF(أرقام!AH6="","",INDEX(الفصول!$A$2:$B$13,MATCH(أرقام!AH6,الفصول!$A$2:$A$13,0),2))</f>
        <v>2 م ب</v>
      </c>
      <c r="AJ6" s="29" t="str">
        <f>IF(أرقام!AI6="","",INDEX(الفصول!$A$2:$B$13,MATCH(أرقام!AI6,الفصول!$A$2:$A$13,0),2))</f>
        <v>3 ث ب</v>
      </c>
      <c r="AK6" s="29" t="str">
        <f>IF(أرقام!AJ6="","",INDEX(الفصول!$A$2:$B$13,MATCH(أرقام!AJ6,الفصول!$A$2:$A$13,0),2))</f>
        <v/>
      </c>
      <c r="AL6" s="29" t="str">
        <f>IF(أرقام!AK6="","",INDEX(الفصول!$A$2:$B$13,MATCH(أرقام!AK6,الفصول!$A$2:$A$13,0),2))</f>
        <v/>
      </c>
    </row>
    <row r="7" spans="2:38" ht="14.65" thickBot="1" x14ac:dyDescent="0.5">
      <c r="B7" s="29">
        <f t="shared" si="0"/>
        <v>4</v>
      </c>
      <c r="C7" s="30" t="str">
        <f>أرقام!A7</f>
        <v>محمد الحجفي</v>
      </c>
      <c r="D7" s="29" t="str">
        <f>IF(أرقام!C7="","",INDEX(الفصول!$A$2:$B$13,MATCH(أرقام!C7,الفصول!$A$2:$A$13,0),2))</f>
        <v/>
      </c>
      <c r="E7" s="29" t="str">
        <f>IF(أرقام!D7="","",INDEX(الفصول!$A$2:$B$13,MATCH(أرقام!D7,الفصول!$A$2:$A$13,0),2))</f>
        <v/>
      </c>
      <c r="F7" s="29" t="str">
        <f>IF(أرقام!E7="","",INDEX(الفصول!$A$2:$B$13,MATCH(أرقام!E7,الفصول!$A$2:$A$13,0),2))</f>
        <v>1 ث أ</v>
      </c>
      <c r="G7" s="29" t="str">
        <f>IF(أرقام!F7="","",INDEX(الفصول!$A$2:$B$13,MATCH(أرقام!F7,الفصول!$A$2:$A$13,0),2))</f>
        <v/>
      </c>
      <c r="H7" s="29" t="str">
        <f>IF(أرقام!G7="","",INDEX(الفصول!$A$2:$B$13,MATCH(أرقام!G7,الفصول!$A$2:$A$13,0),2))</f>
        <v>1 ث ب</v>
      </c>
      <c r="I7" s="29" t="str">
        <f>IF(أرقام!H7="","",INDEX(الفصول!$A$2:$B$13,MATCH(أرقام!H7,الفصول!$A$2:$A$13,0),2))</f>
        <v/>
      </c>
      <c r="J7" s="29" t="str">
        <f>IF(أرقام!I7="","",INDEX(الفصول!$A$2:$B$13,MATCH(أرقام!I7,الفصول!$A$2:$A$13,0),2))</f>
        <v/>
      </c>
      <c r="K7" s="29" t="str">
        <f>IF(أرقام!J7="","",INDEX(الفصول!$A$2:$B$13,MATCH(أرقام!J7,الفصول!$A$2:$A$13,0),2))</f>
        <v>3 م ب</v>
      </c>
      <c r="L7" s="29" t="str">
        <f>IF(أرقام!K7="","",INDEX(الفصول!$A$2:$B$13,MATCH(أرقام!K7,الفصول!$A$2:$A$13,0),2))</f>
        <v>3 م أ</v>
      </c>
      <c r="M7" s="29" t="str">
        <f>IF(أرقام!L7="","",INDEX(الفصول!$A$2:$B$13,MATCH(أرقام!L7,الفصول!$A$2:$A$13,0),2))</f>
        <v/>
      </c>
      <c r="N7" s="29" t="str">
        <f>IF(أرقام!M7="","",INDEX(الفصول!$A$2:$B$13,MATCH(أرقام!M7,الفصول!$A$2:$A$13,0),2))</f>
        <v/>
      </c>
      <c r="O7" s="29" t="str">
        <f>IF(أرقام!N7="","",INDEX(الفصول!$A$2:$B$13,MATCH(أرقام!N7,الفصول!$A$2:$A$13,0),2))</f>
        <v/>
      </c>
      <c r="P7" s="29" t="str">
        <f>IF(أرقام!O7="","",INDEX(الفصول!$A$2:$B$13,MATCH(أرقام!O7,الفصول!$A$2:$A$13,0),2))</f>
        <v/>
      </c>
      <c r="Q7" s="29" t="str">
        <f>IF(أرقام!P7="","",INDEX(الفصول!$A$2:$B$13,MATCH(أرقام!P7,الفصول!$A$2:$A$13,0),2))</f>
        <v/>
      </c>
      <c r="R7" s="29" t="str">
        <f>IF(أرقام!Q7="","",INDEX(الفصول!$A$2:$B$13,MATCH(أرقام!Q7,الفصول!$A$2:$A$13,0),2))</f>
        <v>1 ث ب</v>
      </c>
      <c r="S7" s="29" t="str">
        <f>IF(أرقام!R7="","",INDEX(الفصول!$A$2:$B$13,MATCH(أرقام!R7,الفصول!$A$2:$A$13,0),2))</f>
        <v/>
      </c>
      <c r="T7" s="29" t="str">
        <f>IF(أرقام!S7="","",INDEX(الفصول!$A$2:$B$13,MATCH(أرقام!S7,الفصول!$A$2:$A$13,0),2))</f>
        <v/>
      </c>
      <c r="U7" s="29" t="str">
        <f>IF(أرقام!T7="","",INDEX(الفصول!$A$2:$B$13,MATCH(أرقام!T7,الفصول!$A$2:$A$13,0),2))</f>
        <v/>
      </c>
      <c r="V7" s="29" t="str">
        <f>IF(أرقام!U7="","",INDEX(الفصول!$A$2:$B$13,MATCH(أرقام!U7,الفصول!$A$2:$A$13,0),2))</f>
        <v/>
      </c>
      <c r="W7" s="29" t="str">
        <f>IF(أرقام!V7="","",INDEX(الفصول!$A$2:$B$13,MATCH(أرقام!V7,الفصول!$A$2:$A$13,0),2))</f>
        <v/>
      </c>
      <c r="X7" s="29" t="str">
        <f>IF(أرقام!W7="","",INDEX(الفصول!$A$2:$B$13,MATCH(أرقام!W7,الفصول!$A$2:$A$13,0),2))</f>
        <v/>
      </c>
      <c r="Y7" s="29" t="str">
        <f>IF(أرقام!X7="","",INDEX(الفصول!$A$2:$B$13,MATCH(أرقام!X7,الفصول!$A$2:$A$13,0),2))</f>
        <v/>
      </c>
      <c r="Z7" s="29" t="str">
        <f>IF(أرقام!Y7="","",INDEX(الفصول!$A$2:$B$13,MATCH(أرقام!Y7,الفصول!$A$2:$A$13,0),2))</f>
        <v/>
      </c>
      <c r="AA7" s="29" t="str">
        <f>IF(أرقام!Z7="","",INDEX(الفصول!$A$2:$B$13,MATCH(أرقام!Z7,الفصول!$A$2:$A$13,0),2))</f>
        <v/>
      </c>
      <c r="AB7" s="29" t="str">
        <f>IF(أرقام!AA7="","",INDEX(الفصول!$A$2:$B$13,MATCH(أرقام!AA7,الفصول!$A$2:$A$13,0),2))</f>
        <v/>
      </c>
      <c r="AC7" s="29" t="str">
        <f>IF(أرقام!AB7="","",INDEX(الفصول!$A$2:$B$13,MATCH(أرقام!AB7,الفصول!$A$2:$A$13,0),2))</f>
        <v>1 ث ب</v>
      </c>
      <c r="AD7" s="29" t="str">
        <f>IF(أرقام!AC7="","",INDEX(الفصول!$A$2:$B$13,MATCH(أرقام!AC7,الفصول!$A$2:$A$13,0),2))</f>
        <v>1 ث أ</v>
      </c>
      <c r="AE7" s="29" t="str">
        <f>IF(أرقام!AD7="","",INDEX(الفصول!$A$2:$B$13,MATCH(أرقام!AD7,الفصول!$A$2:$A$13,0),2))</f>
        <v/>
      </c>
      <c r="AF7" s="29" t="str">
        <f>IF(أرقام!AE7="","",INDEX(الفصول!$A$2:$B$13,MATCH(أرقام!AE7,الفصول!$A$2:$A$13,0),2))</f>
        <v/>
      </c>
      <c r="AG7" s="29" t="str">
        <f>IF(أرقام!AF7="","",INDEX(الفصول!$A$2:$B$13,MATCH(أرقام!AF7,الفصول!$A$2:$A$13,0),2))</f>
        <v/>
      </c>
      <c r="AH7" s="29" t="str">
        <f>IF(أرقام!AG7="","",INDEX(الفصول!$A$2:$B$13,MATCH(أرقام!AG7,الفصول!$A$2:$A$13,0),2))</f>
        <v>3 م ب</v>
      </c>
      <c r="AI7" s="29" t="str">
        <f>IF(أرقام!AH7="","",INDEX(الفصول!$A$2:$B$13,MATCH(أرقام!AH7,الفصول!$A$2:$A$13,0),2))</f>
        <v>1 ث أ</v>
      </c>
      <c r="AJ7" s="29" t="str">
        <f>IF(أرقام!AI7="","",INDEX(الفصول!$A$2:$B$13,MATCH(أرقام!AI7,الفصول!$A$2:$A$13,0),2))</f>
        <v>3 م أ</v>
      </c>
      <c r="AK7" s="29" t="str">
        <f>IF(أرقام!AJ7="","",INDEX(الفصول!$A$2:$B$13,MATCH(أرقام!AJ7,الفصول!$A$2:$A$13,0),2))</f>
        <v/>
      </c>
      <c r="AL7" s="29" t="str">
        <f>IF(أرقام!AK7="","",INDEX(الفصول!$A$2:$B$13,MATCH(أرقام!AK7,الفصول!$A$2:$A$13,0),2))</f>
        <v/>
      </c>
    </row>
    <row r="8" spans="2:38" ht="14.65" thickBot="1" x14ac:dyDescent="0.5">
      <c r="B8" s="29">
        <f t="shared" si="0"/>
        <v>5</v>
      </c>
      <c r="C8" s="30" t="str">
        <f>أرقام!A8</f>
        <v>أبو عاصم</v>
      </c>
      <c r="D8" s="29" t="str">
        <f>IF(أرقام!C8="","",INDEX(الفصول!$A$2:$B$13,MATCH(أرقام!C8,الفصول!$A$2:$A$13,0),2))</f>
        <v/>
      </c>
      <c r="E8" s="29" t="str">
        <f>IF(أرقام!D8="","",INDEX(الفصول!$A$2:$B$13,MATCH(أرقام!D8,الفصول!$A$2:$A$13,0),2))</f>
        <v>1 ث أ</v>
      </c>
      <c r="F8" s="29" t="str">
        <f>IF(أرقام!E8="","",INDEX(الفصول!$A$2:$B$13,MATCH(أرقام!E8,الفصول!$A$2:$A$13,0),2))</f>
        <v>1 ث ب</v>
      </c>
      <c r="G8" s="29" t="str">
        <f>IF(أرقام!F8="","",INDEX(الفصول!$A$2:$B$13,MATCH(أرقام!F8,الفصول!$A$2:$A$13,0),2))</f>
        <v/>
      </c>
      <c r="H8" s="29" t="str">
        <f>IF(أرقام!G8="","",INDEX(الفصول!$A$2:$B$13,MATCH(أرقام!G8,الفصول!$A$2:$A$13,0),2))</f>
        <v/>
      </c>
      <c r="I8" s="29" t="str">
        <f>IF(أرقام!H8="","",INDEX(الفصول!$A$2:$B$13,MATCH(أرقام!H8,الفصول!$A$2:$A$13,0),2))</f>
        <v/>
      </c>
      <c r="J8" s="29" t="str">
        <f>IF(أرقام!I8="","",INDEX(الفصول!$A$2:$B$13,MATCH(أرقام!I8,الفصول!$A$2:$A$13,0),2))</f>
        <v/>
      </c>
      <c r="K8" s="29" t="str">
        <f>IF(أرقام!J8="","",INDEX(الفصول!$A$2:$B$13,MATCH(أرقام!J8,الفصول!$A$2:$A$13,0),2))</f>
        <v/>
      </c>
      <c r="L8" s="29" t="str">
        <f>IF(أرقام!K8="","",INDEX(الفصول!$A$2:$B$13,MATCH(أرقام!K8,الفصول!$A$2:$A$13,0),2))</f>
        <v>1 ث ب</v>
      </c>
      <c r="M8" s="29" t="str">
        <f>IF(أرقام!L8="","",INDEX(الفصول!$A$2:$B$13,MATCH(أرقام!L8,الفصول!$A$2:$A$13,0),2))</f>
        <v/>
      </c>
      <c r="N8" s="29" t="str">
        <f>IF(أرقام!M8="","",INDEX(الفصول!$A$2:$B$13,MATCH(أرقام!M8,الفصول!$A$2:$A$13,0),2))</f>
        <v/>
      </c>
      <c r="O8" s="29" t="str">
        <f>IF(أرقام!N8="","",INDEX(الفصول!$A$2:$B$13,MATCH(أرقام!N8,الفصول!$A$2:$A$13,0),2))</f>
        <v/>
      </c>
      <c r="P8" s="29" t="str">
        <f>IF(أرقام!O8="","",INDEX(الفصول!$A$2:$B$13,MATCH(أرقام!O8,الفصول!$A$2:$A$13,0),2))</f>
        <v/>
      </c>
      <c r="Q8" s="29" t="str">
        <f>IF(أرقام!P8="","",INDEX(الفصول!$A$2:$B$13,MATCH(أرقام!P8,الفصول!$A$2:$A$13,0),2))</f>
        <v/>
      </c>
      <c r="R8" s="29" t="str">
        <f>IF(أرقام!Q8="","",INDEX(الفصول!$A$2:$B$13,MATCH(أرقام!Q8,الفصول!$A$2:$A$13,0),2))</f>
        <v/>
      </c>
      <c r="S8" s="29" t="str">
        <f>IF(أرقام!R8="","",INDEX(الفصول!$A$2:$B$13,MATCH(أرقام!R8,الفصول!$A$2:$A$13,0),2))</f>
        <v/>
      </c>
      <c r="T8" s="29" t="str">
        <f>IF(أرقام!S8="","",INDEX(الفصول!$A$2:$B$13,MATCH(أرقام!S8,الفصول!$A$2:$A$13,0),2))</f>
        <v>1 ث ب</v>
      </c>
      <c r="U8" s="29" t="str">
        <f>IF(أرقام!T8="","",INDEX(الفصول!$A$2:$B$13,MATCH(أرقام!T8,الفصول!$A$2:$A$13,0),2))</f>
        <v/>
      </c>
      <c r="V8" s="29" t="str">
        <f>IF(أرقام!U8="","",INDEX(الفصول!$A$2:$B$13,MATCH(أرقام!U8,الفصول!$A$2:$A$13,0),2))</f>
        <v/>
      </c>
      <c r="W8" s="29" t="str">
        <f>IF(أرقام!V8="","",INDEX(الفصول!$A$2:$B$13,MATCH(أرقام!V8,الفصول!$A$2:$A$13,0),2))</f>
        <v>1 ث أ</v>
      </c>
      <c r="X8" s="29" t="str">
        <f>IF(أرقام!W8="","",INDEX(الفصول!$A$2:$B$13,MATCH(أرقام!W8,الفصول!$A$2:$A$13,0),2))</f>
        <v/>
      </c>
      <c r="Y8" s="29" t="str">
        <f>IF(أرقام!X8="","",INDEX(الفصول!$A$2:$B$13,MATCH(أرقام!X8,الفصول!$A$2:$A$13,0),2))</f>
        <v/>
      </c>
      <c r="Z8" s="29" t="str">
        <f>IF(أرقام!Y8="","",INDEX(الفصول!$A$2:$B$13,MATCH(أرقام!Y8,الفصول!$A$2:$A$13,0),2))</f>
        <v>1 ث ب</v>
      </c>
      <c r="AA8" s="29" t="str">
        <f>IF(أرقام!Z8="","",INDEX(الفصول!$A$2:$B$13,MATCH(أرقام!Z8,الفصول!$A$2:$A$13,0),2))</f>
        <v/>
      </c>
      <c r="AB8" s="29" t="str">
        <f>IF(أرقام!AA8="","",INDEX(الفصول!$A$2:$B$13,MATCH(أرقام!AA8,الفصول!$A$2:$A$13,0),2))</f>
        <v>1 ث أ</v>
      </c>
      <c r="AC8" s="29" t="str">
        <f>IF(أرقام!AB8="","",INDEX(الفصول!$A$2:$B$13,MATCH(أرقام!AB8,الفصول!$A$2:$A$13,0),2))</f>
        <v/>
      </c>
      <c r="AD8" s="29" t="str">
        <f>IF(أرقام!AC8="","",INDEX(الفصول!$A$2:$B$13,MATCH(أرقام!AC8,الفصول!$A$2:$A$13,0),2))</f>
        <v/>
      </c>
      <c r="AE8" s="29" t="str">
        <f>IF(أرقام!AD8="","",INDEX(الفصول!$A$2:$B$13,MATCH(أرقام!AD8,الفصول!$A$2:$A$13,0),2))</f>
        <v/>
      </c>
      <c r="AF8" s="29" t="str">
        <f>IF(أرقام!AE8="","",INDEX(الفصول!$A$2:$B$13,MATCH(أرقام!AE8,الفصول!$A$2:$A$13,0),2))</f>
        <v/>
      </c>
      <c r="AG8" s="29" t="str">
        <f>IF(أرقام!AF8="","",INDEX(الفصول!$A$2:$B$13,MATCH(أرقام!AF8,الفصول!$A$2:$A$13,0),2))</f>
        <v/>
      </c>
      <c r="AH8" s="29" t="str">
        <f>IF(أرقام!AG8="","",INDEX(الفصول!$A$2:$B$13,MATCH(أرقام!AG8,الفصول!$A$2:$A$13,0),2))</f>
        <v>1 ث أ</v>
      </c>
      <c r="AI8" s="29" t="str">
        <f>IF(أرقام!AH8="","",INDEX(الفصول!$A$2:$B$13,MATCH(أرقام!AH8,الفصول!$A$2:$A$13,0),2))</f>
        <v/>
      </c>
      <c r="AJ8" s="29" t="str">
        <f>IF(أرقام!AI8="","",INDEX(الفصول!$A$2:$B$13,MATCH(أرقام!AI8,الفصول!$A$2:$A$13,0),2))</f>
        <v/>
      </c>
      <c r="AK8" s="29" t="str">
        <f>IF(أرقام!AJ8="","",INDEX(الفصول!$A$2:$B$13,MATCH(أرقام!AJ8,الفصول!$A$2:$A$13,0),2))</f>
        <v/>
      </c>
      <c r="AL8" s="29" t="str">
        <f>IF(أرقام!AK8="","",INDEX(الفصول!$A$2:$B$13,MATCH(أرقام!AK8,الفصول!$A$2:$A$13,0),2))</f>
        <v/>
      </c>
    </row>
    <row r="9" spans="2:38" ht="14.65" thickBot="1" x14ac:dyDescent="0.5">
      <c r="B9" s="29">
        <f t="shared" si="0"/>
        <v>6</v>
      </c>
      <c r="C9" s="30" t="str">
        <f>أرقام!A9</f>
        <v>علي اليحيوي</v>
      </c>
      <c r="D9" s="29" t="str">
        <f>IF(أرقام!C9="","",INDEX(الفصول!$A$2:$B$13,MATCH(أرقام!C9,الفصول!$A$2:$A$13,0),2))</f>
        <v/>
      </c>
      <c r="E9" s="29" t="str">
        <f>IF(أرقام!D9="","",INDEX(الفصول!$A$2:$B$13,MATCH(أرقام!D9,الفصول!$A$2:$A$13,0),2))</f>
        <v xml:space="preserve">1 م </v>
      </c>
      <c r="F9" s="29" t="str">
        <f>IF(أرقام!E9="","",INDEX(الفصول!$A$2:$B$13,MATCH(أرقام!E9,الفصول!$A$2:$A$13,0),2))</f>
        <v>2 م ب</v>
      </c>
      <c r="G9" s="29" t="str">
        <f>IF(أرقام!F9="","",INDEX(الفصول!$A$2:$B$13,MATCH(أرقام!F9,الفصول!$A$2:$A$13,0),2))</f>
        <v/>
      </c>
      <c r="H9" s="29" t="str">
        <f>IF(أرقام!G9="","",INDEX(الفصول!$A$2:$B$13,MATCH(أرقام!G9,الفصول!$A$2:$A$13,0),2))</f>
        <v/>
      </c>
      <c r="I9" s="29" t="str">
        <f>IF(أرقام!H9="","",INDEX(الفصول!$A$2:$B$13,MATCH(أرقام!H9,الفصول!$A$2:$A$13,0),2))</f>
        <v/>
      </c>
      <c r="J9" s="29" t="str">
        <f>IF(أرقام!I9="","",INDEX(الفصول!$A$2:$B$13,MATCH(أرقام!I9,الفصول!$A$2:$A$13,0),2))</f>
        <v/>
      </c>
      <c r="K9" s="29" t="str">
        <f>IF(أرقام!J9="","",INDEX(الفصول!$A$2:$B$13,MATCH(أرقام!J9,الفصول!$A$2:$A$13,0),2))</f>
        <v/>
      </c>
      <c r="L9" s="29" t="str">
        <f>IF(أرقام!K9="","",INDEX(الفصول!$A$2:$B$13,MATCH(أرقام!K9,الفصول!$A$2:$A$13,0),2))</f>
        <v/>
      </c>
      <c r="M9" s="29" t="str">
        <f>IF(أرقام!L9="","",INDEX(الفصول!$A$2:$B$13,MATCH(أرقام!L9,الفصول!$A$2:$A$13,0),2))</f>
        <v>2 م أ</v>
      </c>
      <c r="N9" s="29" t="str">
        <f>IF(أرقام!M9="","",INDEX(الفصول!$A$2:$B$13,MATCH(أرقام!M9,الفصول!$A$2:$A$13,0),2))</f>
        <v>2 م ب</v>
      </c>
      <c r="O9" s="29" t="str">
        <f>IF(أرقام!N9="","",INDEX(الفصول!$A$2:$B$13,MATCH(أرقام!N9,الفصول!$A$2:$A$13,0),2))</f>
        <v/>
      </c>
      <c r="P9" s="29" t="str">
        <f>IF(أرقام!O9="","",INDEX(الفصول!$A$2:$B$13,MATCH(أرقام!O9,الفصول!$A$2:$A$13,0),2))</f>
        <v/>
      </c>
      <c r="Q9" s="29" t="str">
        <f>IF(أرقام!P9="","",INDEX(الفصول!$A$2:$B$13,MATCH(أرقام!P9,الفصول!$A$2:$A$13,0),2))</f>
        <v/>
      </c>
      <c r="R9" s="29" t="str">
        <f>IF(أرقام!Q9="","",INDEX(الفصول!$A$2:$B$13,MATCH(أرقام!Q9,الفصول!$A$2:$A$13,0),2))</f>
        <v>2 م أ</v>
      </c>
      <c r="S9" s="29" t="str">
        <f>IF(أرقام!R9="","",INDEX(الفصول!$A$2:$B$13,MATCH(أرقام!R9,الفصول!$A$2:$A$13,0),2))</f>
        <v>2 م ب</v>
      </c>
      <c r="T9" s="29" t="str">
        <f>IF(أرقام!S9="","",INDEX(الفصول!$A$2:$B$13,MATCH(أرقام!S9,الفصول!$A$2:$A$13,0),2))</f>
        <v/>
      </c>
      <c r="U9" s="29" t="str">
        <f>IF(أرقام!T9="","",INDEX(الفصول!$A$2:$B$13,MATCH(أرقام!T9,الفصول!$A$2:$A$13,0),2))</f>
        <v/>
      </c>
      <c r="V9" s="29" t="str">
        <f>IF(أرقام!U9="","",INDEX(الفصول!$A$2:$B$13,MATCH(أرقام!U9,الفصول!$A$2:$A$13,0),2))</f>
        <v/>
      </c>
      <c r="W9" s="29" t="str">
        <f>IF(أرقام!V9="","",INDEX(الفصول!$A$2:$B$13,MATCH(أرقام!V9,الفصول!$A$2:$A$13,0),2))</f>
        <v/>
      </c>
      <c r="X9" s="29" t="str">
        <f>IF(أرقام!W9="","",INDEX(الفصول!$A$2:$B$13,MATCH(أرقام!W9,الفصول!$A$2:$A$13,0),2))</f>
        <v/>
      </c>
      <c r="Y9" s="29" t="str">
        <f>IF(أرقام!X9="","",INDEX(الفصول!$A$2:$B$13,MATCH(أرقام!X9,الفصول!$A$2:$A$13,0),2))</f>
        <v/>
      </c>
      <c r="Z9" s="29" t="str">
        <f>IF(أرقام!Y9="","",INDEX(الفصول!$A$2:$B$13,MATCH(أرقام!Y9,الفصول!$A$2:$A$13,0),2))</f>
        <v/>
      </c>
      <c r="AA9" s="29" t="str">
        <f>IF(أرقام!Z9="","",INDEX(الفصول!$A$2:$B$13,MATCH(أرقام!Z9,الفصول!$A$2:$A$13,0),2))</f>
        <v xml:space="preserve">1 م </v>
      </c>
      <c r="AB9" s="29" t="str">
        <f>IF(أرقام!AA9="","",INDEX(الفصول!$A$2:$B$13,MATCH(أرقام!AA9,الفصول!$A$2:$A$13,0),2))</f>
        <v xml:space="preserve">1 م </v>
      </c>
      <c r="AC9" s="29" t="str">
        <f>IF(أرقام!AB9="","",INDEX(الفصول!$A$2:$B$13,MATCH(أرقام!AB9,الفصول!$A$2:$A$13,0),2))</f>
        <v/>
      </c>
      <c r="AD9" s="29" t="str">
        <f>IF(أرقام!AC9="","",INDEX(الفصول!$A$2:$B$13,MATCH(أرقام!AC9,الفصول!$A$2:$A$13,0),2))</f>
        <v>2 م أ</v>
      </c>
      <c r="AE9" s="29" t="str">
        <f>IF(أرقام!AD9="","",INDEX(الفصول!$A$2:$B$13,MATCH(أرقام!AD9,الفصول!$A$2:$A$13,0),2))</f>
        <v>2 م ب</v>
      </c>
      <c r="AF9" s="29" t="str">
        <f>IF(أرقام!AE9="","",INDEX(الفصول!$A$2:$B$13,MATCH(أرقام!AE9,الفصول!$A$2:$A$13,0),2))</f>
        <v/>
      </c>
      <c r="AG9" s="29" t="str">
        <f>IF(أرقام!AF9="","",INDEX(الفصول!$A$2:$B$13,MATCH(أرقام!AF9,الفصول!$A$2:$A$13,0),2))</f>
        <v/>
      </c>
      <c r="AH9" s="29" t="str">
        <f>IF(أرقام!AG9="","",INDEX(الفصول!$A$2:$B$13,MATCH(أرقام!AG9,الفصول!$A$2:$A$13,0),2))</f>
        <v>2 م ب</v>
      </c>
      <c r="AI9" s="29" t="str">
        <f>IF(أرقام!AH9="","",INDEX(الفصول!$A$2:$B$13,MATCH(أرقام!AH9,الفصول!$A$2:$A$13,0),2))</f>
        <v xml:space="preserve">1 م </v>
      </c>
      <c r="AJ9" s="29" t="str">
        <f>IF(أرقام!AI9="","",INDEX(الفصول!$A$2:$B$13,MATCH(أرقام!AI9,الفصول!$A$2:$A$13,0),2))</f>
        <v xml:space="preserve">1 م </v>
      </c>
      <c r="AK9" s="29" t="str">
        <f>IF(أرقام!AJ9="","",INDEX(الفصول!$A$2:$B$13,MATCH(أرقام!AJ9,الفصول!$A$2:$A$13,0),2))</f>
        <v>2 م أ</v>
      </c>
      <c r="AL9" s="29" t="str">
        <f>IF(أرقام!AK9="","",INDEX(الفصول!$A$2:$B$13,MATCH(أرقام!AK9,الفصول!$A$2:$A$13,0),2))</f>
        <v>2 م أ</v>
      </c>
    </row>
    <row r="10" spans="2:38" ht="14.65" thickBot="1" x14ac:dyDescent="0.5">
      <c r="B10" s="29">
        <f t="shared" si="0"/>
        <v>7</v>
      </c>
      <c r="C10" s="30" t="str">
        <f>أرقام!A10</f>
        <v>جبر الغزواني</v>
      </c>
      <c r="D10" s="29" t="str">
        <f>IF(أرقام!C10="","",INDEX(الفصول!$A$2:$B$13,MATCH(أرقام!C10,الفصول!$A$2:$A$13,0),2))</f>
        <v/>
      </c>
      <c r="E10" s="29" t="str">
        <f>IF(أرقام!D10="","",INDEX(الفصول!$A$2:$B$13,MATCH(أرقام!D10,الفصول!$A$2:$A$13,0),2))</f>
        <v/>
      </c>
      <c r="F10" s="29" t="str">
        <f>IF(أرقام!E10="","",INDEX(الفصول!$A$2:$B$13,MATCH(أرقام!E10,الفصول!$A$2:$A$13,0),2))</f>
        <v/>
      </c>
      <c r="G10" s="29" t="str">
        <f>IF(أرقام!F10="","",INDEX(الفصول!$A$2:$B$13,MATCH(أرقام!F10,الفصول!$A$2:$A$13,0),2))</f>
        <v/>
      </c>
      <c r="H10" s="29" t="str">
        <f>IF(أرقام!G10="","",INDEX(الفصول!$A$2:$B$13,MATCH(أرقام!G10,الفصول!$A$2:$A$13,0),2))</f>
        <v>3 م ب</v>
      </c>
      <c r="I10" s="29" t="str">
        <f>IF(أرقام!H10="","",INDEX(الفصول!$A$2:$B$13,MATCH(أرقام!H10,الفصول!$A$2:$A$13,0),2))</f>
        <v>3 م أ</v>
      </c>
      <c r="J10" s="29" t="str">
        <f>IF(أرقام!I10="","",INDEX(الفصول!$A$2:$B$13,MATCH(أرقام!I10,الفصول!$A$2:$A$13,0),2))</f>
        <v>3 م أ</v>
      </c>
      <c r="K10" s="29" t="str">
        <f>IF(أرقام!J10="","",INDEX(الفصول!$A$2:$B$13,MATCH(أرقام!J10,الفصول!$A$2:$A$13,0),2))</f>
        <v/>
      </c>
      <c r="L10" s="29" t="str">
        <f>IF(أرقام!K10="","",INDEX(الفصول!$A$2:$B$13,MATCH(أرقام!K10,الفصول!$A$2:$A$13,0),2))</f>
        <v/>
      </c>
      <c r="M10" s="29" t="str">
        <f>IF(أرقام!L10="","",INDEX(الفصول!$A$2:$B$13,MATCH(أرقام!L10,الفصول!$A$2:$A$13,0),2))</f>
        <v/>
      </c>
      <c r="N10" s="29" t="str">
        <f>IF(أرقام!M10="","",INDEX(الفصول!$A$2:$B$13,MATCH(أرقام!M10,الفصول!$A$2:$A$13,0),2))</f>
        <v/>
      </c>
      <c r="O10" s="29" t="str">
        <f>IF(أرقام!N10="","",INDEX(الفصول!$A$2:$B$13,MATCH(أرقام!N10,الفصول!$A$2:$A$13,0),2))</f>
        <v>3 م أ</v>
      </c>
      <c r="P10" s="29" t="str">
        <f>IF(أرقام!O10="","",INDEX(الفصول!$A$2:$B$13,MATCH(أرقام!O10,الفصول!$A$2:$A$13,0),2))</f>
        <v>3 م ب</v>
      </c>
      <c r="Q10" s="29" t="str">
        <f>IF(أرقام!P10="","",INDEX(الفصول!$A$2:$B$13,MATCH(أرقام!P10,الفصول!$A$2:$A$13,0),2))</f>
        <v/>
      </c>
      <c r="R10" s="29" t="str">
        <f>IF(أرقام!Q10="","",INDEX(الفصول!$A$2:$B$13,MATCH(أرقام!Q10,الفصول!$A$2:$A$13,0),2))</f>
        <v>3 م ب</v>
      </c>
      <c r="S10" s="29" t="str">
        <f>IF(أرقام!R10="","",INDEX(الفصول!$A$2:$B$13,MATCH(أرقام!R10,الفصول!$A$2:$A$13,0),2))</f>
        <v/>
      </c>
      <c r="T10" s="29" t="str">
        <f>IF(أرقام!S10="","",INDEX(الفصول!$A$2:$B$13,MATCH(أرقام!S10,الفصول!$A$2:$A$13,0),2))</f>
        <v>3 م أ</v>
      </c>
      <c r="U10" s="29" t="str">
        <f>IF(أرقام!T10="","",INDEX(الفصول!$A$2:$B$13,MATCH(أرقام!T10,الفصول!$A$2:$A$13,0),2))</f>
        <v/>
      </c>
      <c r="V10" s="29" t="str">
        <f>IF(أرقام!U10="","",INDEX(الفصول!$A$2:$B$13,MATCH(أرقام!U10,الفصول!$A$2:$A$13,0),2))</f>
        <v/>
      </c>
      <c r="W10" s="29" t="str">
        <f>IF(أرقام!V10="","",INDEX(الفصول!$A$2:$B$13,MATCH(أرقام!V10,الفصول!$A$2:$A$13,0),2))</f>
        <v/>
      </c>
      <c r="X10" s="29" t="str">
        <f>IF(أرقام!W10="","",INDEX(الفصول!$A$2:$B$13,MATCH(أرقام!W10,الفصول!$A$2:$A$13,0),2))</f>
        <v/>
      </c>
      <c r="Y10" s="29" t="str">
        <f>IF(أرقام!X10="","",INDEX(الفصول!$A$2:$B$13,MATCH(أرقام!X10,الفصول!$A$2:$A$13,0),2))</f>
        <v/>
      </c>
      <c r="Z10" s="29" t="str">
        <f>IF(أرقام!Y10="","",INDEX(الفصول!$A$2:$B$13,MATCH(أرقام!Y10,الفصول!$A$2:$A$13,0),2))</f>
        <v/>
      </c>
      <c r="AA10" s="29" t="str">
        <f>IF(أرقام!Z10="","",INDEX(الفصول!$A$2:$B$13,MATCH(أرقام!Z10,الفصول!$A$2:$A$13,0),2))</f>
        <v/>
      </c>
      <c r="AB10" s="29" t="str">
        <f>IF(أرقام!AA10="","",INDEX(الفصول!$A$2:$B$13,MATCH(أرقام!AA10,الفصول!$A$2:$A$13,0),2))</f>
        <v/>
      </c>
      <c r="AC10" s="29" t="str">
        <f>IF(أرقام!AB10="","",INDEX(الفصول!$A$2:$B$13,MATCH(أرقام!AB10,الفصول!$A$2:$A$13,0),2))</f>
        <v/>
      </c>
      <c r="AD10" s="29" t="str">
        <f>IF(أرقام!AC10="","",INDEX(الفصول!$A$2:$B$13,MATCH(أرقام!AC10,الفصول!$A$2:$A$13,0),2))</f>
        <v>3 م أ</v>
      </c>
      <c r="AE10" s="29" t="str">
        <f>IF(أرقام!AD10="","",INDEX(الفصول!$A$2:$B$13,MATCH(أرقام!AD10,الفصول!$A$2:$A$13,0),2))</f>
        <v>3 م ب</v>
      </c>
      <c r="AF10" s="29" t="str">
        <f>IF(أرقام!AE10="","",INDEX(الفصول!$A$2:$B$13,MATCH(أرقام!AE10,الفصول!$A$2:$A$13,0),2))</f>
        <v>3 م ب</v>
      </c>
      <c r="AG10" s="29" t="str">
        <f>IF(أرقام!AF10="","",INDEX(الفصول!$A$2:$B$13,MATCH(أرقام!AF10,الفصول!$A$2:$A$13,0),2))</f>
        <v/>
      </c>
      <c r="AH10" s="29" t="str">
        <f>IF(أرقام!AG10="","",INDEX(الفصول!$A$2:$B$13,MATCH(أرقام!AG10,الفصول!$A$2:$A$13,0),2))</f>
        <v/>
      </c>
      <c r="AI10" s="29" t="str">
        <f>IF(أرقام!AH10="","",INDEX(الفصول!$A$2:$B$13,MATCH(أرقام!AH10,الفصول!$A$2:$A$13,0),2))</f>
        <v/>
      </c>
      <c r="AJ10" s="29" t="str">
        <f>IF(أرقام!AI10="","",INDEX(الفصول!$A$2:$B$13,MATCH(أرقام!AI10,الفصول!$A$2:$A$13,0),2))</f>
        <v/>
      </c>
      <c r="AK10" s="29" t="str">
        <f>IF(أرقام!AJ10="","",INDEX(الفصول!$A$2:$B$13,MATCH(أرقام!AJ10,الفصول!$A$2:$A$13,0),2))</f>
        <v/>
      </c>
      <c r="AL10" s="29" t="str">
        <f>IF(أرقام!AK10="","",INDEX(الفصول!$A$2:$B$13,MATCH(أرقام!AK10,الفصول!$A$2:$A$13,0),2))</f>
        <v/>
      </c>
    </row>
    <row r="11" spans="2:38" ht="14.65" thickBot="1" x14ac:dyDescent="0.5">
      <c r="B11" s="29">
        <f t="shared" si="0"/>
        <v>8</v>
      </c>
      <c r="C11" s="30" t="str">
        <f>أرقام!A11</f>
        <v>حسين العثواني</v>
      </c>
      <c r="D11" s="29" t="str">
        <f>IF(أرقام!C11="","",INDEX(الفصول!$A$2:$B$13,MATCH(أرقام!C11,الفصول!$A$2:$A$13,0),2))</f>
        <v/>
      </c>
      <c r="E11" s="29" t="str">
        <f>IF(أرقام!D11="","",INDEX(الفصول!$A$2:$B$13,MATCH(أرقام!D11,الفصول!$A$2:$A$13,0),2))</f>
        <v/>
      </c>
      <c r="F11" s="29" t="str">
        <f>IF(أرقام!E11="","",INDEX(الفصول!$A$2:$B$13,MATCH(أرقام!E11,الفصول!$A$2:$A$13,0),2))</f>
        <v xml:space="preserve">1 م </v>
      </c>
      <c r="G11" s="29" t="str">
        <f>IF(أرقام!F11="","",INDEX(الفصول!$A$2:$B$13,MATCH(أرقام!F11,الفصول!$A$2:$A$13,0),2))</f>
        <v/>
      </c>
      <c r="H11" s="29" t="str">
        <f>IF(أرقام!G11="","",INDEX(الفصول!$A$2:$B$13,MATCH(أرقام!G11,الفصول!$A$2:$A$13,0),2))</f>
        <v>2 ث ب</v>
      </c>
      <c r="I11" s="29" t="str">
        <f>IF(أرقام!H11="","",INDEX(الفصول!$A$2:$B$13,MATCH(أرقام!H11,الفصول!$A$2:$A$13,0),2))</f>
        <v>2 ث أ</v>
      </c>
      <c r="J11" s="29" t="str">
        <f>IF(أرقام!I11="","",INDEX(الفصول!$A$2:$B$13,MATCH(أرقام!I11,الفصول!$A$2:$A$13,0),2))</f>
        <v>2 ث أ</v>
      </c>
      <c r="K11" s="29" t="str">
        <f>IF(أرقام!J11="","",INDEX(الفصول!$A$2:$B$13,MATCH(أرقام!J11,الفصول!$A$2:$A$13,0),2))</f>
        <v/>
      </c>
      <c r="L11" s="29" t="str">
        <f>IF(أرقام!K11="","",INDEX(الفصول!$A$2:$B$13,MATCH(أرقام!K11,الفصول!$A$2:$A$13,0),2))</f>
        <v/>
      </c>
      <c r="M11" s="29" t="str">
        <f>IF(أرقام!L11="","",INDEX(الفصول!$A$2:$B$13,MATCH(أرقام!L11,الفصول!$A$2:$A$13,0),2))</f>
        <v>2 ث ب</v>
      </c>
      <c r="N11" s="29" t="str">
        <f>IF(أرقام!M11="","",INDEX(الفصول!$A$2:$B$13,MATCH(أرقام!M11,الفصول!$A$2:$A$13,0),2))</f>
        <v/>
      </c>
      <c r="O11" s="29" t="str">
        <f>IF(أرقام!N11="","",INDEX(الفصول!$A$2:$B$13,MATCH(أرقام!N11,الفصول!$A$2:$A$13,0),2))</f>
        <v/>
      </c>
      <c r="P11" s="29" t="str">
        <f>IF(أرقام!O11="","",INDEX(الفصول!$A$2:$B$13,MATCH(أرقام!O11,الفصول!$A$2:$A$13,0),2))</f>
        <v/>
      </c>
      <c r="Q11" s="29" t="str">
        <f>IF(أرقام!P11="","",INDEX(الفصول!$A$2:$B$13,MATCH(أرقام!P11,الفصول!$A$2:$A$13,0),2))</f>
        <v/>
      </c>
      <c r="R11" s="29" t="str">
        <f>IF(أرقام!Q11="","",INDEX(الفصول!$A$2:$B$13,MATCH(أرقام!Q11,الفصول!$A$2:$A$13,0),2))</f>
        <v xml:space="preserve">1 م </v>
      </c>
      <c r="S11" s="29" t="str">
        <f>IF(أرقام!R11="","",INDEX(الفصول!$A$2:$B$13,MATCH(أرقام!R11,الفصول!$A$2:$A$13,0),2))</f>
        <v/>
      </c>
      <c r="T11" s="29" t="str">
        <f>IF(أرقام!S11="","",INDEX(الفصول!$A$2:$B$13,MATCH(أرقام!S11,الفصول!$A$2:$A$13,0),2))</f>
        <v/>
      </c>
      <c r="U11" s="29" t="str">
        <f>IF(أرقام!T11="","",INDEX(الفصول!$A$2:$B$13,MATCH(أرقام!T11,الفصول!$A$2:$A$13,0),2))</f>
        <v/>
      </c>
      <c r="V11" s="29" t="str">
        <f>IF(أرقام!U11="","",INDEX(الفصول!$A$2:$B$13,MATCH(أرقام!U11,الفصول!$A$2:$A$13,0),2))</f>
        <v/>
      </c>
      <c r="W11" s="29" t="str">
        <f>IF(أرقام!V11="","",INDEX(الفصول!$A$2:$B$13,MATCH(أرقام!V11,الفصول!$A$2:$A$13,0),2))</f>
        <v/>
      </c>
      <c r="X11" s="29" t="str">
        <f>IF(أرقام!W11="","",INDEX(الفصول!$A$2:$B$13,MATCH(أرقام!W11,الفصول!$A$2:$A$13,0),2))</f>
        <v/>
      </c>
      <c r="Y11" s="29" t="str">
        <f>IF(أرقام!X11="","",INDEX(الفصول!$A$2:$B$13,MATCH(أرقام!X11,الفصول!$A$2:$A$13,0),2))</f>
        <v/>
      </c>
      <c r="Z11" s="29" t="str">
        <f>IF(أرقام!Y11="","",INDEX(الفصول!$A$2:$B$13,MATCH(أرقام!Y11,الفصول!$A$2:$A$13,0),2))</f>
        <v/>
      </c>
      <c r="AA11" s="29" t="str">
        <f>IF(أرقام!Z11="","",INDEX(الفصول!$A$2:$B$13,MATCH(أرقام!Z11,الفصول!$A$2:$A$13,0),2))</f>
        <v/>
      </c>
      <c r="AB11" s="29" t="str">
        <f>IF(أرقام!AA11="","",INDEX(الفصول!$A$2:$B$13,MATCH(أرقام!AA11,الفصول!$A$2:$A$13,0),2))</f>
        <v>2 ث ب</v>
      </c>
      <c r="AC11" s="29" t="str">
        <f>IF(أرقام!AB11="","",INDEX(الفصول!$A$2:$B$13,MATCH(أرقام!AB11,الفصول!$A$2:$A$13,0),2))</f>
        <v/>
      </c>
      <c r="AD11" s="29" t="str">
        <f>IF(أرقام!AC11="","",INDEX(الفصول!$A$2:$B$13,MATCH(أرقام!AC11,الفصول!$A$2:$A$13,0),2))</f>
        <v>2 ث أ</v>
      </c>
      <c r="AE11" s="29" t="str">
        <f>IF(أرقام!AD11="","",INDEX(الفصول!$A$2:$B$13,MATCH(أرقام!AD11,الفصول!$A$2:$A$13,0),2))</f>
        <v/>
      </c>
      <c r="AF11" s="29" t="str">
        <f>IF(أرقام!AE11="","",INDEX(الفصول!$A$2:$B$13,MATCH(أرقام!AE11,الفصول!$A$2:$A$13,0),2))</f>
        <v/>
      </c>
      <c r="AG11" s="29" t="str">
        <f>IF(أرقام!AF11="","",INDEX(الفصول!$A$2:$B$13,MATCH(أرقام!AF11,الفصول!$A$2:$A$13,0),2))</f>
        <v/>
      </c>
      <c r="AH11" s="29" t="str">
        <f>IF(أرقام!AG11="","",INDEX(الفصول!$A$2:$B$13,MATCH(أرقام!AG11,الفصول!$A$2:$A$13,0),2))</f>
        <v xml:space="preserve">1 م </v>
      </c>
      <c r="AI11" s="29" t="str">
        <f>IF(أرقام!AH11="","",INDEX(الفصول!$A$2:$B$13,MATCH(أرقام!AH11,الفصول!$A$2:$A$13,0),2))</f>
        <v/>
      </c>
      <c r="AJ11" s="29" t="str">
        <f>IF(أرقام!AI11="","",INDEX(الفصول!$A$2:$B$13,MATCH(أرقام!AI11,الفصول!$A$2:$A$13,0),2))</f>
        <v>2 ث أ</v>
      </c>
      <c r="AK11" s="29" t="str">
        <f>IF(أرقام!AJ11="","",INDEX(الفصول!$A$2:$B$13,MATCH(أرقام!AJ11,الفصول!$A$2:$A$13,0),2))</f>
        <v>2 ث ب</v>
      </c>
      <c r="AL11" s="29" t="str">
        <f>IF(أرقام!AK11="","",INDEX(الفصول!$A$2:$B$13,MATCH(أرقام!AK11,الفصول!$A$2:$A$13,0),2))</f>
        <v xml:space="preserve">1 م </v>
      </c>
    </row>
    <row r="12" spans="2:38" ht="14.65" thickBot="1" x14ac:dyDescent="0.5">
      <c r="B12" s="29">
        <f t="shared" si="0"/>
        <v>9</v>
      </c>
      <c r="C12" s="30" t="str">
        <f>أرقام!A12</f>
        <v>احمد يحيى</v>
      </c>
      <c r="D12" s="29" t="str">
        <f>IF(أرقام!C12="","",INDEX(الفصول!$A$2:$B$13,MATCH(أرقام!C12,الفصول!$A$2:$A$13,0),2))</f>
        <v/>
      </c>
      <c r="E12" s="29" t="str">
        <f>IF(أرقام!D12="","",INDEX(الفصول!$A$2:$B$13,MATCH(أرقام!D12,الفصول!$A$2:$A$13,0),2))</f>
        <v/>
      </c>
      <c r="F12" s="29" t="str">
        <f>IF(أرقام!E12="","",INDEX(الفصول!$A$2:$B$13,MATCH(أرقام!E12,الفصول!$A$2:$A$13,0),2))</f>
        <v/>
      </c>
      <c r="G12" s="29" t="str">
        <f>IF(أرقام!F12="","",INDEX(الفصول!$A$2:$B$13,MATCH(أرقام!F12,الفصول!$A$2:$A$13,0),2))</f>
        <v/>
      </c>
      <c r="H12" s="29" t="str">
        <f>IF(أرقام!G12="","",INDEX(الفصول!$A$2:$B$13,MATCH(أرقام!G12,الفصول!$A$2:$A$13,0),2))</f>
        <v/>
      </c>
      <c r="I12" s="29" t="str">
        <f>IF(أرقام!H12="","",INDEX(الفصول!$A$2:$B$13,MATCH(أرقام!H12,الفصول!$A$2:$A$13,0),2))</f>
        <v>2 م ب</v>
      </c>
      <c r="J12" s="29" t="str">
        <f>IF(أرقام!I12="","",INDEX(الفصول!$A$2:$B$13,MATCH(أرقام!I12,الفصول!$A$2:$A$13,0),2))</f>
        <v>2 م ب</v>
      </c>
      <c r="K12" s="29" t="str">
        <f>IF(أرقام!J12="","",INDEX(الفصول!$A$2:$B$13,MATCH(أرقام!J12,الفصول!$A$2:$A$13,0),2))</f>
        <v/>
      </c>
      <c r="L12" s="29" t="str">
        <f>IF(أرقام!K12="","",INDEX(الفصول!$A$2:$B$13,MATCH(أرقام!K12,الفصول!$A$2:$A$13,0),2))</f>
        <v/>
      </c>
      <c r="M12" s="29" t="str">
        <f>IF(أرقام!L12="","",INDEX(الفصول!$A$2:$B$13,MATCH(أرقام!L12,الفصول!$A$2:$A$13,0),2))</f>
        <v/>
      </c>
      <c r="N12" s="29" t="str">
        <f>IF(أرقام!M12="","",INDEX(الفصول!$A$2:$B$13,MATCH(أرقام!M12,الفصول!$A$2:$A$13,0),2))</f>
        <v/>
      </c>
      <c r="O12" s="29" t="str">
        <f>IF(أرقام!N12="","",INDEX(الفصول!$A$2:$B$13,MATCH(أرقام!N12,الفصول!$A$2:$A$13,0),2))</f>
        <v>2 م ب</v>
      </c>
      <c r="P12" s="29" t="str">
        <f>IF(أرقام!O12="","",INDEX(الفصول!$A$2:$B$13,MATCH(أرقام!O12,الفصول!$A$2:$A$13,0),2))</f>
        <v>2 م أ</v>
      </c>
      <c r="Q12" s="29" t="str">
        <f>IF(أرقام!P12="","",INDEX(الفصول!$A$2:$B$13,MATCH(أرقام!P12,الفصول!$A$2:$A$13,0),2))</f>
        <v>2 م أ</v>
      </c>
      <c r="R12" s="29" t="str">
        <f>IF(أرقام!Q12="","",INDEX(الفصول!$A$2:$B$13,MATCH(أرقام!Q12,الفصول!$A$2:$A$13,0),2))</f>
        <v>2 م ب</v>
      </c>
      <c r="S12" s="29" t="str">
        <f>IF(أرقام!R12="","",INDEX(الفصول!$A$2:$B$13,MATCH(أرقام!R12,الفصول!$A$2:$A$13,0),2))</f>
        <v>2 م أ</v>
      </c>
      <c r="T12" s="29" t="str">
        <f>IF(أرقام!S12="","",INDEX(الفصول!$A$2:$B$13,MATCH(أرقام!S12,الفصول!$A$2:$A$13,0),2))</f>
        <v/>
      </c>
      <c r="U12" s="29" t="str">
        <f>IF(أرقام!T12="","",INDEX(الفصول!$A$2:$B$13,MATCH(أرقام!T12,الفصول!$A$2:$A$13,0),2))</f>
        <v/>
      </c>
      <c r="V12" s="29" t="str">
        <f>IF(أرقام!U12="","",INDEX(الفصول!$A$2:$B$13,MATCH(أرقام!U12,الفصول!$A$2:$A$13,0),2))</f>
        <v/>
      </c>
      <c r="W12" s="29" t="str">
        <f>IF(أرقام!V12="","",INDEX(الفصول!$A$2:$B$13,MATCH(أرقام!V12,الفصول!$A$2:$A$13,0),2))</f>
        <v/>
      </c>
      <c r="X12" s="29" t="str">
        <f>IF(أرقام!W12="","",INDEX(الفصول!$A$2:$B$13,MATCH(أرقام!W12,الفصول!$A$2:$A$13,0),2))</f>
        <v/>
      </c>
      <c r="Y12" s="29" t="str">
        <f>IF(أرقام!X12="","",INDEX(الفصول!$A$2:$B$13,MATCH(أرقام!X12,الفصول!$A$2:$A$13,0),2))</f>
        <v>2 م أ</v>
      </c>
      <c r="Z12" s="29" t="str">
        <f>IF(أرقام!Y12="","",INDEX(الفصول!$A$2:$B$13,MATCH(أرقام!Y12,الفصول!$A$2:$A$13,0),2))</f>
        <v/>
      </c>
      <c r="AA12" s="29" t="str">
        <f>IF(أرقام!Z12="","",INDEX(الفصول!$A$2:$B$13,MATCH(أرقام!Z12,الفصول!$A$2:$A$13,0),2))</f>
        <v/>
      </c>
      <c r="AB12" s="29" t="str">
        <f>IF(أرقام!AA12="","",INDEX(الفصول!$A$2:$B$13,MATCH(أرقام!AA12,الفصول!$A$2:$A$13,0),2))</f>
        <v/>
      </c>
      <c r="AC12" s="29" t="str">
        <f>IF(أرقام!AB12="","",INDEX(الفصول!$A$2:$B$13,MATCH(أرقام!AB12,الفصول!$A$2:$A$13,0),2))</f>
        <v/>
      </c>
      <c r="AD12" s="29" t="str">
        <f>IF(أرقام!AC12="","",INDEX(الفصول!$A$2:$B$13,MATCH(أرقام!AC12,الفصول!$A$2:$A$13,0),2))</f>
        <v/>
      </c>
      <c r="AE12" s="29" t="str">
        <f>IF(أرقام!AD12="","",INDEX(الفصول!$A$2:$B$13,MATCH(أرقام!AD12,الفصول!$A$2:$A$13,0),2))</f>
        <v/>
      </c>
      <c r="AF12" s="29" t="str">
        <f>IF(أرقام!AE12="","",INDEX(الفصول!$A$2:$B$13,MATCH(أرقام!AE12,الفصول!$A$2:$A$13,0),2))</f>
        <v/>
      </c>
      <c r="AG12" s="29" t="str">
        <f>IF(أرقام!AF12="","",INDEX(الفصول!$A$2:$B$13,MATCH(أرقام!AF12,الفصول!$A$2:$A$13,0),2))</f>
        <v/>
      </c>
      <c r="AH12" s="29" t="str">
        <f>IF(أرقام!AG12="","",INDEX(الفصول!$A$2:$B$13,MATCH(أرقام!AG12,الفصول!$A$2:$A$13,0),2))</f>
        <v>2 م أ</v>
      </c>
      <c r="AI12" s="29" t="str">
        <f>IF(أرقام!AH12="","",INDEX(الفصول!$A$2:$B$13,MATCH(أرقام!AH12,الفصول!$A$2:$A$13,0),2))</f>
        <v>2 م أ</v>
      </c>
      <c r="AJ12" s="29" t="str">
        <f>IF(أرقام!AI12="","",INDEX(الفصول!$A$2:$B$13,MATCH(أرقام!AI12,الفصول!$A$2:$A$13,0),2))</f>
        <v>2 م ب</v>
      </c>
      <c r="AK12" s="29" t="str">
        <f>IF(أرقام!AJ12="","",INDEX(الفصول!$A$2:$B$13,MATCH(أرقام!AJ12,الفصول!$A$2:$A$13,0),2))</f>
        <v>2 م ب</v>
      </c>
      <c r="AL12" s="29" t="str">
        <f>IF(أرقام!AK12="","",INDEX(الفصول!$A$2:$B$13,MATCH(أرقام!AK12,الفصول!$A$2:$A$13,0),2))</f>
        <v/>
      </c>
    </row>
    <row r="13" spans="2:38" ht="14.65" thickBot="1" x14ac:dyDescent="0.5">
      <c r="B13" s="29">
        <f t="shared" si="0"/>
        <v>10</v>
      </c>
      <c r="C13" s="30" t="str">
        <f>أرقام!A13</f>
        <v>سالم حردان</v>
      </c>
      <c r="D13" s="29" t="str">
        <f>IF(أرقام!C13="","",INDEX(الفصول!$A$2:$B$13,MATCH(أرقام!C13,الفصول!$A$2:$A$13,0),2))</f>
        <v xml:space="preserve">1 م </v>
      </c>
      <c r="E13" s="29" t="str">
        <f>IF(أرقام!D13="","",INDEX(الفصول!$A$2:$B$13,MATCH(أرقام!D13,الفصول!$A$2:$A$13,0),2))</f>
        <v/>
      </c>
      <c r="F13" s="29" t="str">
        <f>IF(أرقام!E13="","",INDEX(الفصول!$A$2:$B$13,MATCH(أرقام!E13,الفصول!$A$2:$A$13,0),2))</f>
        <v/>
      </c>
      <c r="G13" s="29" t="str">
        <f>IF(أرقام!F13="","",INDEX(الفصول!$A$2:$B$13,MATCH(أرقام!F13,الفصول!$A$2:$A$13,0),2))</f>
        <v/>
      </c>
      <c r="H13" s="29" t="str">
        <f>IF(أرقام!G13="","",INDEX(الفصول!$A$2:$B$13,MATCH(أرقام!G13,الفصول!$A$2:$A$13,0),2))</f>
        <v/>
      </c>
      <c r="I13" s="29" t="str">
        <f>IF(أرقام!H13="","",INDEX(الفصول!$A$2:$B$13,MATCH(أرقام!H13,الفصول!$A$2:$A$13,0),2))</f>
        <v/>
      </c>
      <c r="J13" s="29" t="str">
        <f>IF(أرقام!I13="","",INDEX(الفصول!$A$2:$B$13,MATCH(أرقام!I13,الفصول!$A$2:$A$13,0),2))</f>
        <v/>
      </c>
      <c r="K13" s="29" t="str">
        <f>IF(أرقام!J13="","",INDEX(الفصول!$A$2:$B$13,MATCH(أرقام!J13,الفصول!$A$2:$A$13,0),2))</f>
        <v/>
      </c>
      <c r="L13" s="29" t="str">
        <f>IF(أرقام!K13="","",INDEX(الفصول!$A$2:$B$13,MATCH(أرقام!K13,الفصول!$A$2:$A$13,0),2))</f>
        <v/>
      </c>
      <c r="M13" s="29" t="str">
        <f>IF(أرقام!L13="","",INDEX(الفصول!$A$2:$B$13,MATCH(أرقام!L13,الفصول!$A$2:$A$13,0),2))</f>
        <v/>
      </c>
      <c r="N13" s="29" t="str">
        <f>IF(أرقام!M13="","",INDEX(الفصول!$A$2:$B$13,MATCH(أرقام!M13,الفصول!$A$2:$A$13,0),2))</f>
        <v>2 م أ</v>
      </c>
      <c r="O13" s="29" t="str">
        <f>IF(أرقام!N13="","",INDEX(الفصول!$A$2:$B$13,MATCH(أرقام!N13,الفصول!$A$2:$A$13,0),2))</f>
        <v/>
      </c>
      <c r="P13" s="29" t="str">
        <f>IF(أرقام!O13="","",INDEX(الفصول!$A$2:$B$13,MATCH(أرقام!O13,الفصول!$A$2:$A$13,0),2))</f>
        <v xml:space="preserve">1 م </v>
      </c>
      <c r="Q13" s="29" t="str">
        <f>IF(أرقام!P13="","",INDEX(الفصول!$A$2:$B$13,MATCH(أرقام!P13,الفصول!$A$2:$A$13,0),2))</f>
        <v/>
      </c>
      <c r="R13" s="29" t="str">
        <f>IF(أرقام!Q13="","",INDEX(الفصول!$A$2:$B$13,MATCH(أرقام!Q13,الفصول!$A$2:$A$13,0),2))</f>
        <v/>
      </c>
      <c r="S13" s="29" t="str">
        <f>IF(أرقام!R13="","",INDEX(الفصول!$A$2:$B$13,MATCH(أرقام!R13,الفصول!$A$2:$A$13,0),2))</f>
        <v/>
      </c>
      <c r="T13" s="29" t="str">
        <f>IF(أرقام!S13="","",INDEX(الفصول!$A$2:$B$13,MATCH(أرقام!S13,الفصول!$A$2:$A$13,0),2))</f>
        <v>2 م ب</v>
      </c>
      <c r="U13" s="29" t="str">
        <f>IF(أرقام!T13="","",INDEX(الفصول!$A$2:$B$13,MATCH(أرقام!T13,الفصول!$A$2:$A$13,0),2))</f>
        <v/>
      </c>
      <c r="V13" s="29" t="str">
        <f>IF(أرقام!U13="","",INDEX(الفصول!$A$2:$B$13,MATCH(أرقام!U13,الفصول!$A$2:$A$13,0),2))</f>
        <v/>
      </c>
      <c r="W13" s="29" t="str">
        <f>IF(أرقام!V13="","",INDEX(الفصول!$A$2:$B$13,MATCH(أرقام!V13,الفصول!$A$2:$A$13,0),2))</f>
        <v/>
      </c>
      <c r="X13" s="29" t="str">
        <f>IF(أرقام!W13="","",INDEX(الفصول!$A$2:$B$13,MATCH(أرقام!W13,الفصول!$A$2:$A$13,0),2))</f>
        <v>2 م أ</v>
      </c>
      <c r="Y13" s="29" t="str">
        <f>IF(أرقام!X13="","",INDEX(الفصول!$A$2:$B$13,MATCH(أرقام!X13,الفصول!$A$2:$A$13,0),2))</f>
        <v/>
      </c>
      <c r="Z13" s="29" t="str">
        <f>IF(أرقام!Y13="","",INDEX(الفصول!$A$2:$B$13,MATCH(أرقام!Y13,الفصول!$A$2:$A$13,0),2))</f>
        <v/>
      </c>
      <c r="AA13" s="29" t="str">
        <f>IF(أرقام!Z13="","",INDEX(الفصول!$A$2:$B$13,MATCH(أرقام!Z13,الفصول!$A$2:$A$13,0),2))</f>
        <v/>
      </c>
      <c r="AB13" s="29" t="str">
        <f>IF(أرقام!AA13="","",INDEX(الفصول!$A$2:$B$13,MATCH(أرقام!AA13,الفصول!$A$2:$A$13,0),2))</f>
        <v>2 م أ</v>
      </c>
      <c r="AC13" s="29" t="str">
        <f>IF(أرقام!AB13="","",INDEX(الفصول!$A$2:$B$13,MATCH(أرقام!AB13,الفصول!$A$2:$A$13,0),2))</f>
        <v xml:space="preserve">1 م </v>
      </c>
      <c r="AD13" s="29" t="str">
        <f>IF(أرقام!AC13="","",INDEX(الفصول!$A$2:$B$13,MATCH(أرقام!AC13,الفصول!$A$2:$A$13,0),2))</f>
        <v>2 م ب</v>
      </c>
      <c r="AE13" s="29" t="str">
        <f>IF(أرقام!AD13="","",INDEX(الفصول!$A$2:$B$13,MATCH(أرقام!AD13,الفصول!$A$2:$A$13,0),2))</f>
        <v/>
      </c>
      <c r="AF13" s="29" t="str">
        <f>IF(أرقام!AE13="","",INDEX(الفصول!$A$2:$B$13,MATCH(أرقام!AE13,الفصول!$A$2:$A$13,0),2))</f>
        <v>2 م ب</v>
      </c>
      <c r="AG13" s="29" t="str">
        <f>IF(أرقام!AF13="","",INDEX(الفصول!$A$2:$B$13,MATCH(أرقام!AF13,الفصول!$A$2:$A$13,0),2))</f>
        <v/>
      </c>
      <c r="AH13" s="29" t="str">
        <f>IF(أرقام!AG13="","",INDEX(الفصول!$A$2:$B$13,MATCH(أرقام!AG13,الفصول!$A$2:$A$13,0),2))</f>
        <v/>
      </c>
      <c r="AI13" s="29" t="str">
        <f>IF(أرقام!AH13="","",INDEX(الفصول!$A$2:$B$13,MATCH(أرقام!AH13,الفصول!$A$2:$A$13,0),2))</f>
        <v/>
      </c>
      <c r="AJ13" s="29" t="str">
        <f>IF(أرقام!AI13="","",INDEX(الفصول!$A$2:$B$13,MATCH(أرقام!AI13,الفصول!$A$2:$A$13,0),2))</f>
        <v/>
      </c>
      <c r="AK13" s="29" t="str">
        <f>IF(أرقام!AJ13="","",INDEX(الفصول!$A$2:$B$13,MATCH(أرقام!AJ13,الفصول!$A$2:$A$13,0),2))</f>
        <v/>
      </c>
      <c r="AL13" s="29" t="str">
        <f>IF(أرقام!AK13="","",INDEX(الفصول!$A$2:$B$13,MATCH(أرقام!AK13,الفصول!$A$2:$A$13,0),2))</f>
        <v/>
      </c>
    </row>
    <row r="14" spans="2:38" ht="14.65" thickBot="1" x14ac:dyDescent="0.5">
      <c r="B14" s="29">
        <f t="shared" si="0"/>
        <v>11</v>
      </c>
      <c r="C14" s="30" t="str">
        <f>أرقام!A14</f>
        <v>الفيدلي</v>
      </c>
      <c r="D14" s="29" t="str">
        <f>IF(أرقام!C14="","",INDEX(الفصول!$A$2:$B$13,MATCH(أرقام!C14,الفصول!$A$2:$A$13,0),2))</f>
        <v/>
      </c>
      <c r="E14" s="29" t="str">
        <f>IF(أرقام!D14="","",INDEX(الفصول!$A$2:$B$13,MATCH(أرقام!D14,الفصول!$A$2:$A$13,0),2))</f>
        <v/>
      </c>
      <c r="F14" s="29" t="str">
        <f>IF(أرقام!E14="","",INDEX(الفصول!$A$2:$B$13,MATCH(أرقام!E14,الفصول!$A$2:$A$13,0),2))</f>
        <v/>
      </c>
      <c r="G14" s="29" t="str">
        <f>IF(أرقام!F14="","",INDEX(الفصول!$A$2:$B$13,MATCH(أرقام!F14,الفصول!$A$2:$A$13,0),2))</f>
        <v>2 م ب</v>
      </c>
      <c r="H14" s="29" t="str">
        <f>IF(أرقام!G14="","",INDEX(الفصول!$A$2:$B$13,MATCH(أرقام!G14,الفصول!$A$2:$A$13,0),2))</f>
        <v/>
      </c>
      <c r="I14" s="29" t="str">
        <f>IF(أرقام!H14="","",INDEX(الفصول!$A$2:$B$13,MATCH(أرقام!H14,الفصول!$A$2:$A$13,0),2))</f>
        <v>2 م أ</v>
      </c>
      <c r="J14" s="29" t="str">
        <f>IF(أرقام!I14="","",INDEX(الفصول!$A$2:$B$13,MATCH(أرقام!I14,الفصول!$A$2:$A$13,0),2))</f>
        <v/>
      </c>
      <c r="K14" s="29" t="str">
        <f>IF(أرقام!J14="","",INDEX(الفصول!$A$2:$B$13,MATCH(أرقام!J14,الفصول!$A$2:$A$13,0),2))</f>
        <v/>
      </c>
      <c r="L14" s="29" t="str">
        <f>IF(أرقام!K14="","",INDEX(الفصول!$A$2:$B$13,MATCH(أرقام!K14,الفصول!$A$2:$A$13,0),2))</f>
        <v/>
      </c>
      <c r="M14" s="29" t="str">
        <f>IF(أرقام!L14="","",INDEX(الفصول!$A$2:$B$13,MATCH(أرقام!L14,الفصول!$A$2:$A$13,0),2))</f>
        <v xml:space="preserve">1 م </v>
      </c>
      <c r="N14" s="29" t="str">
        <f>IF(أرقام!M14="","",INDEX(الفصول!$A$2:$B$13,MATCH(أرقام!M14,الفصول!$A$2:$A$13,0),2))</f>
        <v/>
      </c>
      <c r="O14" s="29" t="str">
        <f>IF(أرقام!N14="","",INDEX(الفصول!$A$2:$B$13,MATCH(أرقام!N14,الفصول!$A$2:$A$13,0),2))</f>
        <v/>
      </c>
      <c r="P14" s="29" t="str">
        <f>IF(أرقام!O14="","",INDEX(الفصول!$A$2:$B$13,MATCH(أرقام!O14,الفصول!$A$2:$A$13,0),2))</f>
        <v/>
      </c>
      <c r="Q14" s="29" t="str">
        <f>IF(أرقام!P14="","",INDEX(الفصول!$A$2:$B$13,MATCH(أرقام!P14,الفصول!$A$2:$A$13,0),2))</f>
        <v/>
      </c>
      <c r="R14" s="29" t="str">
        <f>IF(أرقام!Q14="","",INDEX(الفصول!$A$2:$B$13,MATCH(أرقام!Q14,الفصول!$A$2:$A$13,0),2))</f>
        <v/>
      </c>
      <c r="S14" s="29" t="str">
        <f>IF(أرقام!R14="","",INDEX(الفصول!$A$2:$B$13,MATCH(أرقام!R14,الفصول!$A$2:$A$13,0),2))</f>
        <v/>
      </c>
      <c r="T14" s="29" t="str">
        <f>IF(أرقام!S14="","",INDEX(الفصول!$A$2:$B$13,MATCH(أرقام!S14,الفصول!$A$2:$A$13,0),2))</f>
        <v xml:space="preserve">1 م </v>
      </c>
      <c r="U14" s="29" t="str">
        <f>IF(أرقام!T14="","",INDEX(الفصول!$A$2:$B$13,MATCH(أرقام!T14,الفصول!$A$2:$A$13,0),2))</f>
        <v/>
      </c>
      <c r="V14" s="29" t="str">
        <f>IF(أرقام!U14="","",INDEX(الفصول!$A$2:$B$13,MATCH(أرقام!U14,الفصول!$A$2:$A$13,0),2))</f>
        <v/>
      </c>
      <c r="W14" s="29" t="str">
        <f>IF(أرقام!V14="","",INDEX(الفصول!$A$2:$B$13,MATCH(أرقام!V14,الفصول!$A$2:$A$13,0),2))</f>
        <v/>
      </c>
      <c r="X14" s="29" t="str">
        <f>IF(أرقام!W14="","",INDEX(الفصول!$A$2:$B$13,MATCH(أرقام!W14,الفصول!$A$2:$A$13,0),2))</f>
        <v/>
      </c>
      <c r="Y14" s="29" t="str">
        <f>IF(أرقام!X14="","",INDEX(الفصول!$A$2:$B$13,MATCH(أرقام!X14,الفصول!$A$2:$A$13,0),2))</f>
        <v>2 م ب</v>
      </c>
      <c r="Z14" s="29" t="str">
        <f>IF(أرقام!Y14="","",INDEX(الفصول!$A$2:$B$13,MATCH(أرقام!Y14,الفصول!$A$2:$A$13,0),2))</f>
        <v>2 م أ</v>
      </c>
      <c r="AA14" s="29" t="str">
        <f>IF(أرقام!Z14="","",INDEX(الفصول!$A$2:$B$13,MATCH(أرقام!Z14,الفصول!$A$2:$A$13,0),2))</f>
        <v/>
      </c>
      <c r="AB14" s="29" t="str">
        <f>IF(أرقام!AA14="","",INDEX(الفصول!$A$2:$B$13,MATCH(أرقام!AA14,الفصول!$A$2:$A$13,0),2))</f>
        <v/>
      </c>
      <c r="AC14" s="29" t="str">
        <f>IF(أرقام!AB14="","",INDEX(الفصول!$A$2:$B$13,MATCH(أرقام!AB14,الفصول!$A$2:$A$13,0),2))</f>
        <v/>
      </c>
      <c r="AD14" s="29" t="str">
        <f>IF(أرقام!AC14="","",INDEX(الفصول!$A$2:$B$13,MATCH(أرقام!AC14,الفصول!$A$2:$A$13,0),2))</f>
        <v/>
      </c>
      <c r="AE14" s="29" t="str">
        <f>IF(أرقام!AD14="","",INDEX(الفصول!$A$2:$B$13,MATCH(أرقام!AD14,الفصول!$A$2:$A$13,0),2))</f>
        <v/>
      </c>
      <c r="AF14" s="29" t="str">
        <f>IF(أرقام!AE14="","",INDEX(الفصول!$A$2:$B$13,MATCH(أرقام!AE14,الفصول!$A$2:$A$13,0),2))</f>
        <v/>
      </c>
      <c r="AG14" s="29" t="str">
        <f>IF(أرقام!AF14="","",INDEX(الفصول!$A$2:$B$13,MATCH(أرقام!AF14,الفصول!$A$2:$A$13,0),2))</f>
        <v/>
      </c>
      <c r="AH14" s="29" t="str">
        <f>IF(أرقام!AG14="","",INDEX(الفصول!$A$2:$B$13,MATCH(أرقام!AG14,الفصول!$A$2:$A$13,0),2))</f>
        <v/>
      </c>
      <c r="AI14" s="29" t="str">
        <f>IF(أرقام!AH14="","",INDEX(الفصول!$A$2:$B$13,MATCH(أرقام!AH14,الفصول!$A$2:$A$13,0),2))</f>
        <v>3 م ب</v>
      </c>
      <c r="AJ14" s="29" t="str">
        <f>IF(أرقام!AI14="","",INDEX(الفصول!$A$2:$B$13,MATCH(أرقام!AI14,الفصول!$A$2:$A$13,0),2))</f>
        <v>3 م ب</v>
      </c>
      <c r="AK14" s="29" t="str">
        <f>IF(أرقام!AJ14="","",INDEX(الفصول!$A$2:$B$13,MATCH(أرقام!AJ14,الفصول!$A$2:$A$13,0),2))</f>
        <v>3 م أ</v>
      </c>
      <c r="AL14" s="29" t="str">
        <f>IF(أرقام!AK14="","",INDEX(الفصول!$A$2:$B$13,MATCH(أرقام!AK14,الفصول!$A$2:$A$13,0),2))</f>
        <v>3 م أ</v>
      </c>
    </row>
    <row r="15" spans="2:38" ht="14.65" thickBot="1" x14ac:dyDescent="0.5">
      <c r="B15" s="29">
        <f t="shared" si="0"/>
        <v>12</v>
      </c>
      <c r="C15" s="30" t="str">
        <f>أرقام!A15</f>
        <v>يحيى العزي</v>
      </c>
      <c r="D15" s="29" t="str">
        <f>IF(أرقام!C15="","",INDEX(الفصول!$A$2:$B$13,MATCH(أرقام!C15,الفصول!$A$2:$A$13,0),2))</f>
        <v>3 م ب</v>
      </c>
      <c r="E15" s="29" t="str">
        <f>IF(أرقام!D15="","",INDEX(الفصول!$A$2:$B$13,MATCH(أرقام!D15,الفصول!$A$2:$A$13,0),2))</f>
        <v>3 م أ</v>
      </c>
      <c r="F15" s="29" t="str">
        <f>IF(أرقام!E15="","",INDEX(الفصول!$A$2:$B$13,MATCH(أرقام!E15,الفصول!$A$2:$A$13,0),2))</f>
        <v/>
      </c>
      <c r="G15" s="29" t="str">
        <f>IF(أرقام!F15="","",INDEX(الفصول!$A$2:$B$13,MATCH(أرقام!F15,الفصول!$A$2:$A$13,0),2))</f>
        <v/>
      </c>
      <c r="H15" s="29" t="str">
        <f>IF(أرقام!G15="","",INDEX(الفصول!$A$2:$B$13,MATCH(أرقام!G15,الفصول!$A$2:$A$13,0),2))</f>
        <v/>
      </c>
      <c r="I15" s="29" t="str">
        <f>IF(أرقام!H15="","",INDEX(الفصول!$A$2:$B$13,MATCH(أرقام!H15,الفصول!$A$2:$A$13,0),2))</f>
        <v>1 ث أ</v>
      </c>
      <c r="J15" s="29" t="str">
        <f>IF(أرقام!I15="","",INDEX(الفصول!$A$2:$B$13,MATCH(أرقام!I15,الفصول!$A$2:$A$13,0),2))</f>
        <v>1 ث ب</v>
      </c>
      <c r="K15" s="29" t="str">
        <f>IF(أرقام!J15="","",INDEX(الفصول!$A$2:$B$13,MATCH(أرقام!J15,الفصول!$A$2:$A$13,0),2))</f>
        <v/>
      </c>
      <c r="L15" s="29" t="str">
        <f>IF(أرقام!K15="","",INDEX(الفصول!$A$2:$B$13,MATCH(أرقام!K15,الفصول!$A$2:$A$13,0),2))</f>
        <v/>
      </c>
      <c r="M15" s="29" t="str">
        <f>IF(أرقام!L15="","",INDEX(الفصول!$A$2:$B$13,MATCH(أرقام!L15,الفصول!$A$2:$A$13,0),2))</f>
        <v>3 م أ</v>
      </c>
      <c r="N15" s="29" t="str">
        <f>IF(أرقام!M15="","",INDEX(الفصول!$A$2:$B$13,MATCH(أرقام!M15,الفصول!$A$2:$A$13,0),2))</f>
        <v>1 ث ب</v>
      </c>
      <c r="O15" s="29" t="str">
        <f>IF(أرقام!N15="","",INDEX(الفصول!$A$2:$B$13,MATCH(أرقام!N15,الفصول!$A$2:$A$13,0),2))</f>
        <v>3 م ب</v>
      </c>
      <c r="P15" s="29" t="str">
        <f>IF(أرقام!O15="","",INDEX(الفصول!$A$2:$B$13,MATCH(أرقام!O15,الفصول!$A$2:$A$13,0),2))</f>
        <v>1 ث أ</v>
      </c>
      <c r="Q15" s="29" t="str">
        <f>IF(أرقام!P15="","",INDEX(الفصول!$A$2:$B$13,MATCH(أرقام!P15,الفصول!$A$2:$A$13,0),2))</f>
        <v/>
      </c>
      <c r="R15" s="29" t="str">
        <f>IF(أرقام!Q15="","",INDEX(الفصول!$A$2:$B$13,MATCH(أرقام!Q15,الفصول!$A$2:$A$13,0),2))</f>
        <v>3 م أ</v>
      </c>
      <c r="S15" s="29" t="str">
        <f>IF(أرقام!R15="","",INDEX(الفصول!$A$2:$B$13,MATCH(أرقام!R15,الفصول!$A$2:$A$13,0),2))</f>
        <v/>
      </c>
      <c r="T15" s="29" t="str">
        <f>IF(أرقام!S15="","",INDEX(الفصول!$A$2:$B$13,MATCH(أرقام!S15,الفصول!$A$2:$A$13,0),2))</f>
        <v/>
      </c>
      <c r="U15" s="29" t="str">
        <f>IF(أرقام!T15="","",INDEX(الفصول!$A$2:$B$13,MATCH(أرقام!T15,الفصول!$A$2:$A$13,0),2))</f>
        <v>1 ث أ</v>
      </c>
      <c r="V15" s="29" t="str">
        <f>IF(أرقام!U15="","",INDEX(الفصول!$A$2:$B$13,MATCH(أرقام!U15,الفصول!$A$2:$A$13,0),2))</f>
        <v>1 ث ب</v>
      </c>
      <c r="W15" s="29" t="str">
        <f>IF(أرقام!V15="","",INDEX(الفصول!$A$2:$B$13,MATCH(أرقام!V15,الفصول!$A$2:$A$13,0),2))</f>
        <v>3 م أ</v>
      </c>
      <c r="X15" s="29" t="str">
        <f>IF(أرقام!W15="","",INDEX(الفصول!$A$2:$B$13,MATCH(أرقام!W15,الفصول!$A$2:$A$13,0),2))</f>
        <v>3 م ب</v>
      </c>
      <c r="Y15" s="29" t="str">
        <f>IF(أرقام!X15="","",INDEX(الفصول!$A$2:$B$13,MATCH(أرقام!X15,الفصول!$A$2:$A$13,0),2))</f>
        <v>1 ث أ</v>
      </c>
      <c r="Z15" s="29" t="str">
        <f>IF(أرقام!Y15="","",INDEX(الفصول!$A$2:$B$13,MATCH(أرقام!Y15,الفصول!$A$2:$A$13,0),2))</f>
        <v>3 م ب</v>
      </c>
      <c r="AA15" s="29" t="str">
        <f>IF(أرقام!Z15="","",INDEX(الفصول!$A$2:$B$13,MATCH(أرقام!Z15,الفصول!$A$2:$A$13,0),2))</f>
        <v>1 ث ب</v>
      </c>
      <c r="AB15" s="29" t="str">
        <f>IF(أرقام!AA15="","",INDEX(الفصول!$A$2:$B$13,MATCH(أرقام!AA15,الفصول!$A$2:$A$13,0),2))</f>
        <v/>
      </c>
      <c r="AC15" s="29" t="str">
        <f>IF(أرقام!AB15="","",INDEX(الفصول!$A$2:$B$13,MATCH(أرقام!AB15,الفصول!$A$2:$A$13,0),2))</f>
        <v/>
      </c>
      <c r="AD15" s="29" t="str">
        <f>IF(أرقام!AC15="","",INDEX(الفصول!$A$2:$B$13,MATCH(أرقام!AC15,الفصول!$A$2:$A$13,0),2))</f>
        <v/>
      </c>
      <c r="AE15" s="29" t="str">
        <f>IF(أرقام!AD15="","",INDEX(الفصول!$A$2:$B$13,MATCH(أرقام!AD15,الفصول!$A$2:$A$13,0),2))</f>
        <v/>
      </c>
      <c r="AF15" s="29" t="str">
        <f>IF(أرقام!AE15="","",INDEX(الفصول!$A$2:$B$13,MATCH(أرقام!AE15,الفصول!$A$2:$A$13,0),2))</f>
        <v>1 ث أ</v>
      </c>
      <c r="AG15" s="29" t="str">
        <f>IF(أرقام!AF15="","",INDEX(الفصول!$A$2:$B$13,MATCH(أرقام!AF15,الفصول!$A$2:$A$13,0),2))</f>
        <v>1 ث ب</v>
      </c>
      <c r="AH15" s="29" t="str">
        <f>IF(أرقام!AG15="","",INDEX(الفصول!$A$2:$B$13,MATCH(أرقام!AG15,الفصول!$A$2:$A$13,0),2))</f>
        <v/>
      </c>
      <c r="AI15" s="29" t="str">
        <f>IF(أرقام!AH15="","",INDEX(الفصول!$A$2:$B$13,MATCH(أرقام!AH15,الفصول!$A$2:$A$13,0),2))</f>
        <v/>
      </c>
      <c r="AJ15" s="29" t="str">
        <f>IF(أرقام!AI15="","",INDEX(الفصول!$A$2:$B$13,MATCH(أرقام!AI15,الفصول!$A$2:$A$13,0),2))</f>
        <v/>
      </c>
      <c r="AK15" s="29" t="str">
        <f>IF(أرقام!AJ15="","",INDEX(الفصول!$A$2:$B$13,MATCH(أرقام!AJ15,الفصول!$A$2:$A$13,0),2))</f>
        <v/>
      </c>
      <c r="AL15" s="29" t="str">
        <f>IF(أرقام!AK15="","",INDEX(الفصول!$A$2:$B$13,MATCH(أرقام!AK15,الفصول!$A$2:$A$13,0),2))</f>
        <v/>
      </c>
    </row>
    <row r="16" spans="2:38" ht="14.65" thickBot="1" x14ac:dyDescent="0.5">
      <c r="B16" s="29">
        <f t="shared" si="0"/>
        <v>13</v>
      </c>
      <c r="C16" s="30" t="str">
        <f>أرقام!A16</f>
        <v>جبران علي</v>
      </c>
      <c r="D16" s="29" t="str">
        <f>IF(أرقام!C16="","",INDEX(الفصول!$A$2:$B$13,MATCH(أرقام!C16,الفصول!$A$2:$A$13,0),2))</f>
        <v/>
      </c>
      <c r="E16" s="29" t="str">
        <f>IF(أرقام!D16="","",INDEX(الفصول!$A$2:$B$13,MATCH(أرقام!D16,الفصول!$A$2:$A$13,0),2))</f>
        <v/>
      </c>
      <c r="F16" s="29" t="str">
        <f>IF(أرقام!E16="","",INDEX(الفصول!$A$2:$B$13,MATCH(أرقام!E16,الفصول!$A$2:$A$13,0),2))</f>
        <v>3 م أ</v>
      </c>
      <c r="G16" s="29" t="str">
        <f>IF(أرقام!F16="","",INDEX(الفصول!$A$2:$B$13,MATCH(أرقام!F16,الفصول!$A$2:$A$13,0),2))</f>
        <v>3 م أ</v>
      </c>
      <c r="H16" s="29" t="str">
        <f>IF(أرقام!G16="","",INDEX(الفصول!$A$2:$B$13,MATCH(أرقام!G16,الفصول!$A$2:$A$13,0),2))</f>
        <v>1 ث أ</v>
      </c>
      <c r="I16" s="29" t="str">
        <f>IF(أرقام!H16="","",INDEX(الفصول!$A$2:$B$13,MATCH(أرقام!H16,الفصول!$A$2:$A$13,0),2))</f>
        <v>1 ث ب</v>
      </c>
      <c r="J16" s="29" t="str">
        <f>IF(أرقام!I16="","",INDEX(الفصول!$A$2:$B$13,MATCH(أرقام!I16,الفصول!$A$2:$A$13,0),2))</f>
        <v>1 ث أ</v>
      </c>
      <c r="K16" s="29" t="str">
        <f>IF(أرقام!J16="","",INDEX(الفصول!$A$2:$B$13,MATCH(أرقام!J16,الفصول!$A$2:$A$13,0),2))</f>
        <v>3 م أ</v>
      </c>
      <c r="L16" s="29" t="str">
        <f>IF(أرقام!K16="","",INDEX(الفصول!$A$2:$B$13,MATCH(أرقام!K16,الفصول!$A$2:$A$13,0),2))</f>
        <v>1 ث أ</v>
      </c>
      <c r="M16" s="29" t="str">
        <f>IF(أرقام!L16="","",INDEX(الفصول!$A$2:$B$13,MATCH(أرقام!L16,الفصول!$A$2:$A$13,0),2))</f>
        <v>1 ث ب</v>
      </c>
      <c r="N16" s="29" t="str">
        <f>IF(أرقام!M16="","",INDEX(الفصول!$A$2:$B$13,MATCH(أرقام!M16,الفصول!$A$2:$A$13,0),2))</f>
        <v/>
      </c>
      <c r="O16" s="29" t="str">
        <f>IF(أرقام!N16="","",INDEX(الفصول!$A$2:$B$13,MATCH(أرقام!N16,الفصول!$A$2:$A$13,0),2))</f>
        <v/>
      </c>
      <c r="P16" s="29" t="str">
        <f>IF(أرقام!O16="","",INDEX(الفصول!$A$2:$B$13,MATCH(أرقام!O16,الفصول!$A$2:$A$13,0),2))</f>
        <v/>
      </c>
      <c r="Q16" s="29" t="str">
        <f>IF(أرقام!P16="","",INDEX(الفصول!$A$2:$B$13,MATCH(أرقام!P16,الفصول!$A$2:$A$13,0),2))</f>
        <v/>
      </c>
      <c r="R16" s="29" t="str">
        <f>IF(أرقام!Q16="","",INDEX(الفصول!$A$2:$B$13,MATCH(أرقام!Q16,الفصول!$A$2:$A$13,0),2))</f>
        <v/>
      </c>
      <c r="S16" s="29" t="str">
        <f>IF(أرقام!R16="","",INDEX(الفصول!$A$2:$B$13,MATCH(أرقام!R16,الفصول!$A$2:$A$13,0),2))</f>
        <v/>
      </c>
      <c r="T16" s="29" t="str">
        <f>IF(أرقام!S16="","",INDEX(الفصول!$A$2:$B$13,MATCH(أرقام!S16,الفصول!$A$2:$A$13,0),2))</f>
        <v/>
      </c>
      <c r="U16" s="29" t="str">
        <f>IF(أرقام!T16="","",INDEX(الفصول!$A$2:$B$13,MATCH(أرقام!T16,الفصول!$A$2:$A$13,0),2))</f>
        <v/>
      </c>
      <c r="V16" s="29" t="str">
        <f>IF(أرقام!U16="","",INDEX(الفصول!$A$2:$B$13,MATCH(أرقام!U16,الفصول!$A$2:$A$13,0),2))</f>
        <v>1 ث أ</v>
      </c>
      <c r="W16" s="29" t="str">
        <f>IF(أرقام!V16="","",INDEX(الفصول!$A$2:$B$13,MATCH(أرقام!V16,الفصول!$A$2:$A$13,0),2))</f>
        <v>1 ث ب</v>
      </c>
      <c r="X16" s="29" t="str">
        <f>IF(أرقام!W16="","",INDEX(الفصول!$A$2:$B$13,MATCH(أرقام!W16,الفصول!$A$2:$A$13,0),2))</f>
        <v>3 م أ</v>
      </c>
      <c r="Y16" s="29" t="str">
        <f>IF(أرقام!X16="","",INDEX(الفصول!$A$2:$B$13,MATCH(أرقام!X16,الفصول!$A$2:$A$13,0),2))</f>
        <v>1 ث ب</v>
      </c>
      <c r="Z16" s="29" t="str">
        <f>IF(أرقام!Y16="","",INDEX(الفصول!$A$2:$B$13,MATCH(أرقام!Y16,الفصول!$A$2:$A$13,0),2))</f>
        <v/>
      </c>
      <c r="AA16" s="29" t="str">
        <f>IF(أرقام!Z16="","",INDEX(الفصول!$A$2:$B$13,MATCH(أرقام!Z16,الفصول!$A$2:$A$13,0),2))</f>
        <v/>
      </c>
      <c r="AB16" s="29" t="str">
        <f>IF(أرقام!AA16="","",INDEX(الفصول!$A$2:$B$13,MATCH(أرقام!AA16,الفصول!$A$2:$A$13,0),2))</f>
        <v/>
      </c>
      <c r="AC16" s="29" t="str">
        <f>IF(أرقام!AB16="","",INDEX(الفصول!$A$2:$B$13,MATCH(أرقام!AB16,الفصول!$A$2:$A$13,0),2))</f>
        <v/>
      </c>
      <c r="AD16" s="29" t="str">
        <f>IF(أرقام!AC16="","",INDEX(الفصول!$A$2:$B$13,MATCH(أرقام!AC16,الفصول!$A$2:$A$13,0),2))</f>
        <v/>
      </c>
      <c r="AE16" s="29" t="str">
        <f>IF(أرقام!AD16="","",INDEX(الفصول!$A$2:$B$13,MATCH(أرقام!AD16,الفصول!$A$2:$A$13,0),2))</f>
        <v/>
      </c>
      <c r="AF16" s="29" t="str">
        <f>IF(أرقام!AE16="","",INDEX(الفصول!$A$2:$B$13,MATCH(أرقام!AE16,الفصول!$A$2:$A$13,0),2))</f>
        <v/>
      </c>
      <c r="AG16" s="29" t="str">
        <f>IF(أرقام!AF16="","",INDEX(الفصول!$A$2:$B$13,MATCH(أرقام!AF16,الفصول!$A$2:$A$13,0),2))</f>
        <v/>
      </c>
      <c r="AH16" s="29" t="str">
        <f>IF(أرقام!AG16="","",INDEX(الفصول!$A$2:$B$13,MATCH(أرقام!AG16,الفصول!$A$2:$A$13,0),2))</f>
        <v>3 م أ</v>
      </c>
      <c r="AI16" s="29" t="str">
        <f>IF(أرقام!AH16="","",INDEX(الفصول!$A$2:$B$13,MATCH(أرقام!AH16,الفصول!$A$2:$A$13,0),2))</f>
        <v>3 م أ</v>
      </c>
      <c r="AJ16" s="29" t="str">
        <f>IF(أرقام!AI16="","",INDEX(الفصول!$A$2:$B$13,MATCH(أرقام!AI16,الفصول!$A$2:$A$13,0),2))</f>
        <v>1 ث أ</v>
      </c>
      <c r="AK16" s="29" t="str">
        <f>IF(أرقام!AJ16="","",INDEX(الفصول!$A$2:$B$13,MATCH(أرقام!AJ16,الفصول!$A$2:$A$13,0),2))</f>
        <v>1 ث ب</v>
      </c>
      <c r="AL16" s="29" t="str">
        <f>IF(أرقام!AK16="","",INDEX(الفصول!$A$2:$B$13,MATCH(أرقام!AK16,الفصول!$A$2:$A$13,0),2))</f>
        <v/>
      </c>
    </row>
    <row r="17" spans="2:38" ht="14.65" thickBot="1" x14ac:dyDescent="0.5">
      <c r="B17" s="29">
        <f t="shared" si="0"/>
        <v>14</v>
      </c>
      <c r="C17" s="30" t="str">
        <f>أرقام!A17</f>
        <v>يحيى احمد</v>
      </c>
      <c r="D17" s="29" t="str">
        <f>IF(أرقام!C17="","",INDEX(الفصول!$A$2:$B$13,MATCH(أرقام!C17,الفصول!$A$2:$A$13,0),2))</f>
        <v/>
      </c>
      <c r="E17" s="29" t="str">
        <f>IF(أرقام!D17="","",INDEX(الفصول!$A$2:$B$13,MATCH(أرقام!D17,الفصول!$A$2:$A$13,0),2))</f>
        <v>2 م أ</v>
      </c>
      <c r="F17" s="29" t="str">
        <f>IF(أرقام!E17="","",INDEX(الفصول!$A$2:$B$13,MATCH(أرقام!E17,الفصول!$A$2:$A$13,0),2))</f>
        <v/>
      </c>
      <c r="G17" s="29" t="str">
        <f>IF(أرقام!F17="","",INDEX(الفصول!$A$2:$B$13,MATCH(أرقام!F17,الفصول!$A$2:$A$13,0),2))</f>
        <v>1 ث أ</v>
      </c>
      <c r="H17" s="29" t="str">
        <f>IF(أرقام!G17="","",INDEX(الفصول!$A$2:$B$13,MATCH(أرقام!G17,الفصول!$A$2:$A$13,0),2))</f>
        <v>3 ث أ</v>
      </c>
      <c r="I17" s="29" t="str">
        <f>IF(أرقام!H17="","",INDEX(الفصول!$A$2:$B$13,MATCH(أرقام!H17,الفصول!$A$2:$A$13,0),2))</f>
        <v/>
      </c>
      <c r="J17" s="29" t="str">
        <f>IF(أرقام!I17="","",INDEX(الفصول!$A$2:$B$13,MATCH(أرقام!I17,الفصول!$A$2:$A$13,0),2))</f>
        <v/>
      </c>
      <c r="K17" s="29" t="str">
        <f>IF(أرقام!J17="","",INDEX(الفصول!$A$2:$B$13,MATCH(أرقام!J17,الفصول!$A$2:$A$13,0),2))</f>
        <v>1 ث أ</v>
      </c>
      <c r="L17" s="29" t="str">
        <f>IF(أرقام!K17="","",INDEX(الفصول!$A$2:$B$13,MATCH(أرقام!K17,الفصول!$A$2:$A$13,0),2))</f>
        <v/>
      </c>
      <c r="M17" s="29" t="str">
        <f>IF(أرقام!L17="","",INDEX(الفصول!$A$2:$B$13,MATCH(أرقام!L17,الفصول!$A$2:$A$13,0),2))</f>
        <v/>
      </c>
      <c r="N17" s="29" t="str">
        <f>IF(أرقام!M17="","",INDEX(الفصول!$A$2:$B$13,MATCH(أرقام!M17,الفصول!$A$2:$A$13,0),2))</f>
        <v/>
      </c>
      <c r="O17" s="29" t="str">
        <f>IF(أرقام!N17="","",INDEX(الفصول!$A$2:$B$13,MATCH(أرقام!N17,الفصول!$A$2:$A$13,0),2))</f>
        <v/>
      </c>
      <c r="P17" s="29" t="str">
        <f>IF(أرقام!O17="","",INDEX(الفصول!$A$2:$B$13,MATCH(أرقام!O17,الفصول!$A$2:$A$13,0),2))</f>
        <v/>
      </c>
      <c r="Q17" s="29" t="str">
        <f>IF(أرقام!P17="","",INDEX(الفصول!$A$2:$B$13,MATCH(أرقام!P17,الفصول!$A$2:$A$13,0),2))</f>
        <v/>
      </c>
      <c r="R17" s="29" t="str">
        <f>IF(أرقام!Q17="","",INDEX(الفصول!$A$2:$B$13,MATCH(أرقام!Q17,الفصول!$A$2:$A$13,0),2))</f>
        <v/>
      </c>
      <c r="S17" s="29" t="str">
        <f>IF(أرقام!R17="","",INDEX(الفصول!$A$2:$B$13,MATCH(أرقام!R17,الفصول!$A$2:$A$13,0),2))</f>
        <v>3 م أ</v>
      </c>
      <c r="T17" s="29" t="str">
        <f>IF(أرقام!S17="","",INDEX(الفصول!$A$2:$B$13,MATCH(أرقام!S17,الفصول!$A$2:$A$13,0),2))</f>
        <v/>
      </c>
      <c r="U17" s="29" t="str">
        <f>IF(أرقام!T17="","",INDEX(الفصول!$A$2:$B$13,MATCH(أرقام!T17,الفصول!$A$2:$A$13,0),2))</f>
        <v/>
      </c>
      <c r="V17" s="29" t="str">
        <f>IF(أرقام!U17="","",INDEX(الفصول!$A$2:$B$13,MATCH(أرقام!U17,الفصول!$A$2:$A$13,0),2))</f>
        <v>3 ث أ</v>
      </c>
      <c r="W17" s="29" t="str">
        <f>IF(أرقام!V17="","",INDEX(الفصول!$A$2:$B$13,MATCH(أرقام!V17,الفصول!$A$2:$A$13,0),2))</f>
        <v/>
      </c>
      <c r="X17" s="29" t="str">
        <f>IF(أرقام!W17="","",INDEX(الفصول!$A$2:$B$13,MATCH(أرقام!W17,الفصول!$A$2:$A$13,0),2))</f>
        <v/>
      </c>
      <c r="Y17" s="29" t="str">
        <f>IF(أرقام!X17="","",INDEX(الفصول!$A$2:$B$13,MATCH(أرقام!X17,الفصول!$A$2:$A$13,0),2))</f>
        <v xml:space="preserve">1 م </v>
      </c>
      <c r="Z17" s="29" t="str">
        <f>IF(أرقام!Y17="","",INDEX(الفصول!$A$2:$B$13,MATCH(أرقام!Y17,الفصول!$A$2:$A$13,0),2))</f>
        <v/>
      </c>
      <c r="AA17" s="29" t="str">
        <f>IF(أرقام!Z17="","",INDEX(الفصول!$A$2:$B$13,MATCH(أرقام!Z17,الفصول!$A$2:$A$13,0),2))</f>
        <v/>
      </c>
      <c r="AB17" s="29" t="str">
        <f>IF(أرقام!AA17="","",INDEX(الفصول!$A$2:$B$13,MATCH(أرقام!AA17,الفصول!$A$2:$A$13,0),2))</f>
        <v>3 م أ</v>
      </c>
      <c r="AC17" s="29" t="str">
        <f>IF(أرقام!AB17="","",INDEX(الفصول!$A$2:$B$13,MATCH(أرقام!AB17,الفصول!$A$2:$A$13,0),2))</f>
        <v>3 ث أ</v>
      </c>
      <c r="AD17" s="29" t="str">
        <f>IF(أرقام!AC17="","",INDEX(الفصول!$A$2:$B$13,MATCH(أرقام!AC17,الفصول!$A$2:$A$13,0),2))</f>
        <v/>
      </c>
      <c r="AE17" s="29" t="str">
        <f>IF(أرقام!AD17="","",INDEX(الفصول!$A$2:$B$13,MATCH(أرقام!AD17,الفصول!$A$2:$A$13,0),2))</f>
        <v/>
      </c>
      <c r="AF17" s="29" t="str">
        <f>IF(أرقام!AE17="","",INDEX(الفصول!$A$2:$B$13,MATCH(أرقام!AE17,الفصول!$A$2:$A$13,0),2))</f>
        <v xml:space="preserve">1 م </v>
      </c>
      <c r="AG17" s="29" t="str">
        <f>IF(أرقام!AF17="","",INDEX(الفصول!$A$2:$B$13,MATCH(أرقام!AF17,الفصول!$A$2:$A$13,0),2))</f>
        <v>2 م أ</v>
      </c>
      <c r="AH17" s="29" t="str">
        <f>IF(أرقام!AG17="","",INDEX(الفصول!$A$2:$B$13,MATCH(أرقام!AG17,الفصول!$A$2:$A$13,0),2))</f>
        <v/>
      </c>
      <c r="AI17" s="29" t="str">
        <f>IF(أرقام!AH17="","",INDEX(الفصول!$A$2:$B$13,MATCH(أرقام!AH17,الفصول!$A$2:$A$13,0),2))</f>
        <v/>
      </c>
      <c r="AJ17" s="29" t="str">
        <f>IF(أرقام!AI17="","",INDEX(الفصول!$A$2:$B$13,MATCH(أرقام!AI17,الفصول!$A$2:$A$13,0),2))</f>
        <v/>
      </c>
      <c r="AK17" s="29" t="str">
        <f>IF(أرقام!AJ17="","",INDEX(الفصول!$A$2:$B$13,MATCH(أرقام!AJ17,الفصول!$A$2:$A$13,0),2))</f>
        <v/>
      </c>
      <c r="AL17" s="29" t="str">
        <f>IF(أرقام!AK17="","",INDEX(الفصول!$A$2:$B$13,MATCH(أرقام!AK17,الفصول!$A$2:$A$13,0),2))</f>
        <v/>
      </c>
    </row>
    <row r="18" spans="2:38" ht="14.65" thickBot="1" x14ac:dyDescent="0.5">
      <c r="B18" s="29">
        <f t="shared" si="0"/>
        <v>15</v>
      </c>
      <c r="C18" s="30" t="str">
        <f>أرقام!A18</f>
        <v>أبو محمد</v>
      </c>
      <c r="D18" s="29" t="str">
        <f>IF(أرقام!C18="","",INDEX(الفصول!$A$2:$B$13,MATCH(أرقام!C18,الفصول!$A$2:$A$13,0),2))</f>
        <v/>
      </c>
      <c r="E18" s="29" t="str">
        <f>IF(أرقام!D18="","",INDEX(الفصول!$A$2:$B$13,MATCH(أرقام!D18,الفصول!$A$2:$A$13,0),2))</f>
        <v>2 م ب</v>
      </c>
      <c r="F18" s="29" t="str">
        <f>IF(أرقام!E18="","",INDEX(الفصول!$A$2:$B$13,MATCH(أرقام!E18,الفصول!$A$2:$A$13,0),2))</f>
        <v/>
      </c>
      <c r="G18" s="29" t="str">
        <f>IF(أرقام!F18="","",INDEX(الفصول!$A$2:$B$13,MATCH(أرقام!F18,الفصول!$A$2:$A$13,0),2))</f>
        <v>1 ث ب</v>
      </c>
      <c r="H18" s="29" t="str">
        <f>IF(أرقام!G18="","",INDEX(الفصول!$A$2:$B$13,MATCH(أرقام!G18,الفصول!$A$2:$A$13,0),2))</f>
        <v>3 ث ب</v>
      </c>
      <c r="I18" s="29" t="str">
        <f>IF(أرقام!H18="","",INDEX(الفصول!$A$2:$B$13,MATCH(أرقام!H18,الفصول!$A$2:$A$13,0),2))</f>
        <v/>
      </c>
      <c r="J18" s="29" t="str">
        <f>IF(أرقام!I18="","",INDEX(الفصول!$A$2:$B$13,MATCH(أرقام!I18,الفصول!$A$2:$A$13,0),2))</f>
        <v/>
      </c>
      <c r="K18" s="29" t="str">
        <f>IF(أرقام!J18="","",INDEX(الفصول!$A$2:$B$13,MATCH(أرقام!J18,الفصول!$A$2:$A$13,0),2))</f>
        <v>1 ث ب</v>
      </c>
      <c r="L18" s="29" t="str">
        <f>IF(أرقام!K18="","",INDEX(الفصول!$A$2:$B$13,MATCH(أرقام!K18,الفصول!$A$2:$A$13,0),2))</f>
        <v/>
      </c>
      <c r="M18" s="29" t="str">
        <f>IF(أرقام!L18="","",INDEX(الفصول!$A$2:$B$13,MATCH(أرقام!L18,الفصول!$A$2:$A$13,0),2))</f>
        <v/>
      </c>
      <c r="N18" s="29" t="str">
        <f>IF(أرقام!M18="","",INDEX(الفصول!$A$2:$B$13,MATCH(أرقام!M18,الفصول!$A$2:$A$13,0),2))</f>
        <v/>
      </c>
      <c r="O18" s="29" t="str">
        <f>IF(أرقام!N18="","",INDEX(الفصول!$A$2:$B$13,MATCH(أرقام!N18,الفصول!$A$2:$A$13,0),2))</f>
        <v/>
      </c>
      <c r="P18" s="29" t="str">
        <f>IF(أرقام!O18="","",INDEX(الفصول!$A$2:$B$13,MATCH(أرقام!O18,الفصول!$A$2:$A$13,0),2))</f>
        <v/>
      </c>
      <c r="Q18" s="29" t="str">
        <f>IF(أرقام!P18="","",INDEX(الفصول!$A$2:$B$13,MATCH(أرقام!P18,الفصول!$A$2:$A$13,0),2))</f>
        <v/>
      </c>
      <c r="R18" s="29" t="str">
        <f>IF(أرقام!Q18="","",INDEX(الفصول!$A$2:$B$13,MATCH(أرقام!Q18,الفصول!$A$2:$A$13,0),2))</f>
        <v/>
      </c>
      <c r="S18" s="29" t="str">
        <f>IF(أرقام!R18="","",INDEX(الفصول!$A$2:$B$13,MATCH(أرقام!R18,الفصول!$A$2:$A$13,0),2))</f>
        <v>3 م ب</v>
      </c>
      <c r="T18" s="29" t="str">
        <f>IF(أرقام!S18="","",INDEX(الفصول!$A$2:$B$13,MATCH(أرقام!S18,الفصول!$A$2:$A$13,0),2))</f>
        <v/>
      </c>
      <c r="U18" s="29" t="str">
        <f>IF(أرقام!T18="","",INDEX(الفصول!$A$2:$B$13,MATCH(أرقام!T18,الفصول!$A$2:$A$13,0),2))</f>
        <v/>
      </c>
      <c r="V18" s="29" t="str">
        <f>IF(أرقام!U18="","",INDEX(الفصول!$A$2:$B$13,MATCH(أرقام!U18,الفصول!$A$2:$A$13,0),2))</f>
        <v>3 ث ب</v>
      </c>
      <c r="W18" s="29" t="str">
        <f>IF(أرقام!V18="","",INDEX(الفصول!$A$2:$B$13,MATCH(أرقام!V18,الفصول!$A$2:$A$13,0),2))</f>
        <v/>
      </c>
      <c r="X18" s="29" t="str">
        <f>IF(أرقام!W18="","",INDEX(الفصول!$A$2:$B$13,MATCH(أرقام!W18,الفصول!$A$2:$A$13,0),2))</f>
        <v/>
      </c>
      <c r="Y18" s="29" t="str">
        <f>IF(أرقام!X18="","",INDEX(الفصول!$A$2:$B$13,MATCH(أرقام!X18,الفصول!$A$2:$A$13,0),2))</f>
        <v/>
      </c>
      <c r="Z18" s="29" t="str">
        <f>IF(أرقام!Y18="","",INDEX(الفصول!$A$2:$B$13,MATCH(أرقام!Y18,الفصول!$A$2:$A$13,0),2))</f>
        <v/>
      </c>
      <c r="AA18" s="29" t="str">
        <f>IF(أرقام!Z18="","",INDEX(الفصول!$A$2:$B$13,MATCH(أرقام!Z18,الفصول!$A$2:$A$13,0),2))</f>
        <v/>
      </c>
      <c r="AB18" s="29" t="str">
        <f>IF(أرقام!AA18="","",INDEX(الفصول!$A$2:$B$13,MATCH(أرقام!AA18,الفصول!$A$2:$A$13,0),2))</f>
        <v>3 م ب</v>
      </c>
      <c r="AC18" s="29" t="str">
        <f>IF(أرقام!AB18="","",INDEX(الفصول!$A$2:$B$13,MATCH(أرقام!AB18,الفصول!$A$2:$A$13,0),2))</f>
        <v>3 ث ب</v>
      </c>
      <c r="AD18" s="29" t="str">
        <f>IF(أرقام!AC18="","",INDEX(الفصول!$A$2:$B$13,MATCH(أرقام!AC18,الفصول!$A$2:$A$13,0),2))</f>
        <v/>
      </c>
      <c r="AE18" s="29" t="str">
        <f>IF(أرقام!AD18="","",INDEX(الفصول!$A$2:$B$13,MATCH(أرقام!AD18,الفصول!$A$2:$A$13,0),2))</f>
        <v/>
      </c>
      <c r="AF18" s="29" t="str">
        <f>IF(أرقام!AE18="","",INDEX(الفصول!$A$2:$B$13,MATCH(أرقام!AE18,الفصول!$A$2:$A$13,0),2))</f>
        <v/>
      </c>
      <c r="AG18" s="29" t="str">
        <f>IF(أرقام!AF18="","",INDEX(الفصول!$A$2:$B$13,MATCH(أرقام!AF18,الفصول!$A$2:$A$13,0),2))</f>
        <v>2 م ب</v>
      </c>
      <c r="AH18" s="29" t="str">
        <f>IF(أرقام!AG18="","",INDEX(الفصول!$A$2:$B$13,MATCH(أرقام!AG18,الفصول!$A$2:$A$13,0),2))</f>
        <v/>
      </c>
      <c r="AI18" s="29" t="str">
        <f>IF(أرقام!AH18="","",INDEX(الفصول!$A$2:$B$13,MATCH(أرقام!AH18,الفصول!$A$2:$A$13,0),2))</f>
        <v/>
      </c>
      <c r="AJ18" s="29" t="str">
        <f>IF(أرقام!AI18="","",INDEX(الفصول!$A$2:$B$13,MATCH(أرقام!AI18,الفصول!$A$2:$A$13,0),2))</f>
        <v/>
      </c>
      <c r="AK18" s="29" t="str">
        <f>IF(أرقام!AJ18="","",INDEX(الفصول!$A$2:$B$13,MATCH(أرقام!AJ18,الفصول!$A$2:$A$13,0),2))</f>
        <v/>
      </c>
      <c r="AL18" s="29" t="str">
        <f>IF(أرقام!AK18="","",INDEX(الفصول!$A$2:$B$13,MATCH(أرقام!AK18,الفصول!$A$2:$A$13,0),2))</f>
        <v/>
      </c>
    </row>
    <row r="19" spans="2:38" ht="14.65" thickBot="1" x14ac:dyDescent="0.5">
      <c r="B19" s="29">
        <f t="shared" si="0"/>
        <v>16</v>
      </c>
      <c r="C19" s="30" t="str">
        <f>أرقام!A19</f>
        <v>ماهر</v>
      </c>
      <c r="D19" s="29" t="str">
        <f>IF(أرقام!C19="","",INDEX(الفصول!$A$2:$B$13,MATCH(أرقام!C19,الفصول!$A$2:$A$13,0),2))</f>
        <v/>
      </c>
      <c r="E19" s="29" t="str">
        <f>IF(أرقام!D19="","",INDEX(الفصول!$A$2:$B$13,MATCH(أرقام!D19,الفصول!$A$2:$A$13,0),2))</f>
        <v/>
      </c>
      <c r="F19" s="29" t="str">
        <f>IF(أرقام!E19="","",INDEX(الفصول!$A$2:$B$13,MATCH(أرقام!E19,الفصول!$A$2:$A$13,0),2))</f>
        <v>3 ث أ</v>
      </c>
      <c r="G19" s="29" t="str">
        <f>IF(أرقام!F19="","",INDEX(الفصول!$A$2:$B$13,MATCH(أرقام!F19,الفصول!$A$2:$A$13,0),2))</f>
        <v>3 ث ب</v>
      </c>
      <c r="H19" s="29" t="str">
        <f>IF(أرقام!G19="","",INDEX(الفصول!$A$2:$B$13,MATCH(أرقام!G19,الفصول!$A$2:$A$13,0),2))</f>
        <v>2 م أ</v>
      </c>
      <c r="I19" s="29" t="str">
        <f>IF(أرقام!H19="","",INDEX(الفصول!$A$2:$B$13,MATCH(أرقام!H19,الفصول!$A$2:$A$13,0),2))</f>
        <v xml:space="preserve">1 م </v>
      </c>
      <c r="J19" s="29" t="str">
        <f>IF(أرقام!I19="","",INDEX(الفصول!$A$2:$B$13,MATCH(أرقام!I19,الفصول!$A$2:$A$13,0),2))</f>
        <v/>
      </c>
      <c r="K19" s="29" t="str">
        <f>IF(أرقام!J19="","",INDEX(الفصول!$A$2:$B$13,MATCH(أرقام!J19,الفصول!$A$2:$A$13,0),2))</f>
        <v>2 م ب</v>
      </c>
      <c r="L19" s="29" t="str">
        <f>IF(أرقام!K19="","",INDEX(الفصول!$A$2:$B$13,MATCH(أرقام!K19,الفصول!$A$2:$A$13,0),2))</f>
        <v>2 م أ</v>
      </c>
      <c r="M19" s="29" t="str">
        <f>IF(أرقام!L19="","",INDEX(الفصول!$A$2:$B$13,MATCH(أرقام!L19,الفصول!$A$2:$A$13,0),2))</f>
        <v/>
      </c>
      <c r="N19" s="29" t="str">
        <f>IF(أرقام!M19="","",INDEX(الفصول!$A$2:$B$13,MATCH(أرقام!M19,الفصول!$A$2:$A$13,0),2))</f>
        <v>1 ث أ</v>
      </c>
      <c r="O19" s="29" t="str">
        <f>IF(أرقام!N19="","",INDEX(الفصول!$A$2:$B$13,MATCH(أرقام!N19,الفصول!$A$2:$A$13,0),2))</f>
        <v>1 ث ب</v>
      </c>
      <c r="P19" s="29" t="str">
        <f>IF(أرقام!O19="","",INDEX(الفصول!$A$2:$B$13,MATCH(أرقام!O19,الفصول!$A$2:$A$13,0),2))</f>
        <v>3 م أ</v>
      </c>
      <c r="Q19" s="29" t="str">
        <f>IF(أرقام!P19="","",INDEX(الفصول!$A$2:$B$13,MATCH(أرقام!P19,الفصول!$A$2:$A$13,0),2))</f>
        <v/>
      </c>
      <c r="R19" s="29" t="str">
        <f>IF(أرقام!Q19="","",INDEX(الفصول!$A$2:$B$13,MATCH(أرقام!Q19,الفصول!$A$2:$A$13,0),2))</f>
        <v/>
      </c>
      <c r="S19" s="29" t="str">
        <f>IF(أرقام!R19="","",INDEX(الفصول!$A$2:$B$13,MATCH(أرقام!R19,الفصول!$A$2:$A$13,0),2))</f>
        <v xml:space="preserve">1 م </v>
      </c>
      <c r="T19" s="29" t="str">
        <f>IF(أرقام!S19="","",INDEX(الفصول!$A$2:$B$13,MATCH(أرقام!S19,الفصول!$A$2:$A$13,0),2))</f>
        <v/>
      </c>
      <c r="U19" s="29" t="str">
        <f>IF(أرقام!T19="","",INDEX(الفصول!$A$2:$B$13,MATCH(أرقام!T19,الفصول!$A$2:$A$13,0),2))</f>
        <v>3 ث أ</v>
      </c>
      <c r="V19" s="29" t="str">
        <f>IF(أرقام!U19="","",INDEX(الفصول!$A$2:$B$13,MATCH(أرقام!U19,الفصول!$A$2:$A$13,0),2))</f>
        <v>3 م ب</v>
      </c>
      <c r="W19" s="29" t="str">
        <f>IF(أرقام!V19="","",INDEX(الفصول!$A$2:$B$13,MATCH(أرقام!V19,الفصول!$A$2:$A$13,0),2))</f>
        <v>3 ث ب</v>
      </c>
      <c r="X19" s="29" t="str">
        <f>IF(أرقام!W19="","",INDEX(الفصول!$A$2:$B$13,MATCH(أرقام!W19,الفصول!$A$2:$A$13,0),2))</f>
        <v/>
      </c>
      <c r="Y19" s="29" t="str">
        <f>IF(أرقام!X19="","",INDEX(الفصول!$A$2:$B$13,MATCH(أرقام!X19,الفصول!$A$2:$A$13,0),2))</f>
        <v>3 م ب</v>
      </c>
      <c r="Z19" s="29" t="str">
        <f>IF(أرقام!Y19="","",INDEX(الفصول!$A$2:$B$13,MATCH(أرقام!Y19,الفصول!$A$2:$A$13,0),2))</f>
        <v/>
      </c>
      <c r="AA19" s="29" t="str">
        <f>IF(أرقام!Z19="","",INDEX(الفصول!$A$2:$B$13,MATCH(أرقام!Z19,الفصول!$A$2:$A$13,0),2))</f>
        <v>3 م أ</v>
      </c>
      <c r="AB19" s="29" t="str">
        <f>IF(أرقام!AA19="","",INDEX(الفصول!$A$2:$B$13,MATCH(أرقام!AA19,الفصول!$A$2:$A$13,0),2))</f>
        <v>2 م ب</v>
      </c>
      <c r="AC19" s="29" t="str">
        <f>IF(أرقام!AB19="","",INDEX(الفصول!$A$2:$B$13,MATCH(أرقام!AB19,الفصول!$A$2:$A$13,0),2))</f>
        <v>1 ث أ</v>
      </c>
      <c r="AD19" s="29" t="str">
        <f>IF(أرقام!AC19="","",INDEX(الفصول!$A$2:$B$13,MATCH(أرقام!AC19,الفصول!$A$2:$A$13,0),2))</f>
        <v>1 ث ب</v>
      </c>
      <c r="AE19" s="29" t="str">
        <f>IF(أرقام!AD19="","",INDEX(الفصول!$A$2:$B$13,MATCH(أرقام!AD19,الفصول!$A$2:$A$13,0),2))</f>
        <v/>
      </c>
      <c r="AF19" s="29" t="str">
        <f>IF(أرقام!AE19="","",INDEX(الفصول!$A$2:$B$13,MATCH(أرقام!AE19,الفصول!$A$2:$A$13,0),2))</f>
        <v>1 ث ب</v>
      </c>
      <c r="AG19" s="29" t="str">
        <f>IF(أرقام!AF19="","",INDEX(الفصول!$A$2:$B$13,MATCH(أرقام!AF19,الفصول!$A$2:$A$13,0),2))</f>
        <v>1 ث أ</v>
      </c>
      <c r="AH19" s="29" t="str">
        <f>IF(أرقام!AG19="","",INDEX(الفصول!$A$2:$B$13,MATCH(أرقام!AG19,الفصول!$A$2:$A$13,0),2))</f>
        <v/>
      </c>
      <c r="AI19" s="29" t="str">
        <f>IF(أرقام!AH19="","",INDEX(الفصول!$A$2:$B$13,MATCH(أرقام!AH19,الفصول!$A$2:$A$13,0),2))</f>
        <v/>
      </c>
      <c r="AJ19" s="29" t="str">
        <f>IF(أرقام!AI19="","",INDEX(الفصول!$A$2:$B$13,MATCH(أرقام!AI19,الفصول!$A$2:$A$13,0),2))</f>
        <v/>
      </c>
      <c r="AK19" s="29" t="str">
        <f>IF(أرقام!AJ19="","",INDEX(الفصول!$A$2:$B$13,MATCH(أرقام!AJ19,الفصول!$A$2:$A$13,0),2))</f>
        <v/>
      </c>
      <c r="AL19" s="29" t="str">
        <f>IF(أرقام!AK19="","",INDEX(الفصول!$A$2:$B$13,MATCH(أرقام!AK19,الفصول!$A$2:$A$13,0),2))</f>
        <v/>
      </c>
    </row>
    <row r="20" spans="2:38" ht="14.65" thickBot="1" x14ac:dyDescent="0.5">
      <c r="B20" s="29">
        <f t="shared" si="0"/>
        <v>17</v>
      </c>
      <c r="C20" s="30" t="str">
        <f>أرقام!A20</f>
        <v>محمد علي</v>
      </c>
      <c r="D20" s="29" t="str">
        <f>IF(أرقام!C20="","",INDEX(الفصول!$A$2:$B$13,MATCH(أرقام!C20,الفصول!$A$2:$A$13,0),2))</f>
        <v/>
      </c>
      <c r="E20" s="29" t="str">
        <f>IF(أرقام!D20="","",INDEX(الفصول!$A$2:$B$13,MATCH(أرقام!D20,الفصول!$A$2:$A$13,0),2))</f>
        <v/>
      </c>
      <c r="F20" s="29" t="str">
        <f>IF(أرقام!E20="","",INDEX(الفصول!$A$2:$B$13,MATCH(أرقام!E20,الفصول!$A$2:$A$13,0),2))</f>
        <v/>
      </c>
      <c r="G20" s="29" t="str">
        <f>IF(أرقام!F20="","",INDEX(الفصول!$A$2:$B$13,MATCH(أرقام!F20,الفصول!$A$2:$A$13,0),2))</f>
        <v/>
      </c>
      <c r="H20" s="29" t="str">
        <f>IF(أرقام!G20="","",INDEX(الفصول!$A$2:$B$13,MATCH(أرقام!G20,الفصول!$A$2:$A$13,0),2))</f>
        <v/>
      </c>
      <c r="I20" s="29" t="str">
        <f>IF(أرقام!H20="","",INDEX(الفصول!$A$2:$B$13,MATCH(أرقام!H20,الفصول!$A$2:$A$13,0),2))</f>
        <v/>
      </c>
      <c r="J20" s="29" t="str">
        <f>IF(أرقام!I20="","",INDEX(الفصول!$A$2:$B$13,MATCH(أرقام!I20,الفصول!$A$2:$A$13,0),2))</f>
        <v/>
      </c>
      <c r="K20" s="29" t="str">
        <f>IF(أرقام!J20="","",INDEX(الفصول!$A$2:$B$13,MATCH(أرقام!J20,الفصول!$A$2:$A$13,0),2))</f>
        <v/>
      </c>
      <c r="L20" s="29" t="str">
        <f>IF(أرقام!K20="","",INDEX(الفصول!$A$2:$B$13,MATCH(أرقام!K20,الفصول!$A$2:$A$13,0),2))</f>
        <v/>
      </c>
      <c r="M20" s="29" t="str">
        <f>IF(أرقام!L20="","",INDEX(الفصول!$A$2:$B$13,MATCH(أرقام!L20,الفصول!$A$2:$A$13,0),2))</f>
        <v/>
      </c>
      <c r="N20" s="29" t="str">
        <f>IF(أرقام!M20="","",INDEX(الفصول!$A$2:$B$13,MATCH(أرقام!M20,الفصول!$A$2:$A$13,0),2))</f>
        <v/>
      </c>
      <c r="O20" s="29" t="str">
        <f>IF(أرقام!N20="","",INDEX(الفصول!$A$2:$B$13,MATCH(أرقام!N20,الفصول!$A$2:$A$13,0),2))</f>
        <v/>
      </c>
      <c r="P20" s="29" t="str">
        <f>IF(أرقام!O20="","",INDEX(الفصول!$A$2:$B$13,MATCH(أرقام!O20,الفصول!$A$2:$A$13,0),2))</f>
        <v/>
      </c>
      <c r="Q20" s="29" t="str">
        <f>IF(أرقام!P20="","",INDEX(الفصول!$A$2:$B$13,MATCH(أرقام!P20,الفصول!$A$2:$A$13,0),2))</f>
        <v/>
      </c>
      <c r="R20" s="29" t="str">
        <f>IF(أرقام!Q20="","",INDEX(الفصول!$A$2:$B$13,MATCH(أرقام!Q20,الفصول!$A$2:$A$13,0),2))</f>
        <v/>
      </c>
      <c r="S20" s="29" t="str">
        <f>IF(أرقام!R20="","",INDEX(الفصول!$A$2:$B$13,MATCH(أرقام!R20,الفصول!$A$2:$A$13,0),2))</f>
        <v/>
      </c>
      <c r="T20" s="29" t="str">
        <f>IF(أرقام!S20="","",INDEX(الفصول!$A$2:$B$13,MATCH(أرقام!S20,الفصول!$A$2:$A$13,0),2))</f>
        <v/>
      </c>
      <c r="U20" s="29" t="str">
        <f>IF(أرقام!T20="","",INDEX(الفصول!$A$2:$B$13,MATCH(أرقام!T20,الفصول!$A$2:$A$13,0),2))</f>
        <v/>
      </c>
      <c r="V20" s="29" t="str">
        <f>IF(أرقام!U20="","",INDEX(الفصول!$A$2:$B$13,MATCH(أرقام!U20,الفصول!$A$2:$A$13,0),2))</f>
        <v/>
      </c>
      <c r="W20" s="29" t="str">
        <f>IF(أرقام!V20="","",INDEX(الفصول!$A$2:$B$13,MATCH(أرقام!V20,الفصول!$A$2:$A$13,0),2))</f>
        <v/>
      </c>
      <c r="X20" s="29" t="str">
        <f>IF(أرقام!W20="","",INDEX(الفصول!$A$2:$B$13,MATCH(أرقام!W20,الفصول!$A$2:$A$13,0),2))</f>
        <v/>
      </c>
      <c r="Y20" s="29" t="str">
        <f>IF(أرقام!X20="","",INDEX(الفصول!$A$2:$B$13,MATCH(أرقام!X20,الفصول!$A$2:$A$13,0),2))</f>
        <v/>
      </c>
      <c r="Z20" s="29" t="str">
        <f>IF(أرقام!Y20="","",INDEX(الفصول!$A$2:$B$13,MATCH(أرقام!Y20,الفصول!$A$2:$A$13,0),2))</f>
        <v/>
      </c>
      <c r="AA20" s="29" t="str">
        <f>IF(أرقام!Z20="","",INDEX(الفصول!$A$2:$B$13,MATCH(أرقام!Z20,الفصول!$A$2:$A$13,0),2))</f>
        <v/>
      </c>
      <c r="AB20" s="29" t="str">
        <f>IF(أرقام!AA20="","",INDEX(الفصول!$A$2:$B$13,MATCH(أرقام!AA20,الفصول!$A$2:$A$13,0),2))</f>
        <v/>
      </c>
      <c r="AC20" s="29" t="str">
        <f>IF(أرقام!AB20="","",INDEX(الفصول!$A$2:$B$13,MATCH(أرقام!AB20,الفصول!$A$2:$A$13,0),2))</f>
        <v/>
      </c>
      <c r="AD20" s="29" t="str">
        <f>IF(أرقام!AC20="","",INDEX(الفصول!$A$2:$B$13,MATCH(أرقام!AC20,الفصول!$A$2:$A$13,0),2))</f>
        <v/>
      </c>
      <c r="AE20" s="29" t="str">
        <f>IF(أرقام!AD20="","",INDEX(الفصول!$A$2:$B$13,MATCH(أرقام!AD20,الفصول!$A$2:$A$13,0),2))</f>
        <v/>
      </c>
      <c r="AF20" s="29" t="str">
        <f>IF(أرقام!AE20="","",INDEX(الفصول!$A$2:$B$13,MATCH(أرقام!AE20,الفصول!$A$2:$A$13,0),2))</f>
        <v/>
      </c>
      <c r="AG20" s="29" t="str">
        <f>IF(أرقام!AF20="","",INDEX(الفصول!$A$2:$B$13,MATCH(أرقام!AF20,الفصول!$A$2:$A$13,0),2))</f>
        <v/>
      </c>
      <c r="AH20" s="29" t="str">
        <f>IF(أرقام!AG20="","",INDEX(الفصول!$A$2:$B$13,MATCH(أرقام!AG20,الفصول!$A$2:$A$13,0),2))</f>
        <v/>
      </c>
      <c r="AI20" s="29" t="str">
        <f>IF(أرقام!AH20="","",INDEX(الفصول!$A$2:$B$13,MATCH(أرقام!AH20,الفصول!$A$2:$A$13,0),2))</f>
        <v/>
      </c>
      <c r="AJ20" s="29" t="str">
        <f>IF(أرقام!AI20="","",INDEX(الفصول!$A$2:$B$13,MATCH(أرقام!AI20,الفصول!$A$2:$A$13,0),2))</f>
        <v/>
      </c>
      <c r="AK20" s="29" t="str">
        <f>IF(أرقام!AJ20="","",INDEX(الفصول!$A$2:$B$13,MATCH(أرقام!AJ20,الفصول!$A$2:$A$13,0),2))</f>
        <v/>
      </c>
      <c r="AL20" s="29" t="str">
        <f>IF(أرقام!AK20="","",INDEX(الفصول!$A$2:$B$13,MATCH(أرقام!AK20,الفصول!$A$2:$A$13,0),2))</f>
        <v/>
      </c>
    </row>
    <row r="21" spans="2:38" ht="14.65" thickBot="1" x14ac:dyDescent="0.5">
      <c r="B21" s="29">
        <f t="shared" si="0"/>
        <v>18</v>
      </c>
      <c r="C21" s="30" t="str">
        <f>أرقام!A21</f>
        <v>سالم يحيى</v>
      </c>
      <c r="D21" s="29" t="str">
        <f>IF(أرقام!C21="","",INDEX(الفصول!$A$2:$B$13,MATCH(أرقام!C21,الفصول!$A$2:$A$13,0),2))</f>
        <v>2 ث ب</v>
      </c>
      <c r="E21" s="29" t="str">
        <f>IF(أرقام!D21="","",INDEX(الفصول!$A$2:$B$13,MATCH(أرقام!D21,الفصول!$A$2:$A$13,0),2))</f>
        <v>2 ث أ</v>
      </c>
      <c r="F21" s="29" t="str">
        <f>IF(أرقام!E21="","",INDEX(الفصول!$A$2:$B$13,MATCH(أرقام!E21,الفصول!$A$2:$A$13,0),2))</f>
        <v/>
      </c>
      <c r="G21" s="29" t="str">
        <f>IF(أرقام!F21="","",INDEX(الفصول!$A$2:$B$13,MATCH(أرقام!F21,الفصول!$A$2:$A$13,0),2))</f>
        <v/>
      </c>
      <c r="H21" s="29" t="str">
        <f>IF(أرقام!G21="","",INDEX(الفصول!$A$2:$B$13,MATCH(أرقام!G21,الفصول!$A$2:$A$13,0),2))</f>
        <v/>
      </c>
      <c r="I21" s="29" t="str">
        <f>IF(أرقام!H21="","",INDEX(الفصول!$A$2:$B$13,MATCH(أرقام!H21,الفصول!$A$2:$A$13,0),2))</f>
        <v/>
      </c>
      <c r="J21" s="29" t="str">
        <f>IF(أرقام!I21="","",INDEX(الفصول!$A$2:$B$13,MATCH(أرقام!I21,الفصول!$A$2:$A$13,0),2))</f>
        <v/>
      </c>
      <c r="K21" s="29" t="str">
        <f>IF(أرقام!J21="","",INDEX(الفصول!$A$2:$B$13,MATCH(أرقام!J21,الفصول!$A$2:$A$13,0),2))</f>
        <v/>
      </c>
      <c r="L21" s="29" t="str">
        <f>IF(أرقام!K21="","",INDEX(الفصول!$A$2:$B$13,MATCH(أرقام!K21,الفصول!$A$2:$A$13,0),2))</f>
        <v/>
      </c>
      <c r="M21" s="29" t="str">
        <f>IF(أرقام!L21="","",INDEX(الفصول!$A$2:$B$13,MATCH(أرقام!L21,الفصول!$A$2:$A$13,0),2))</f>
        <v/>
      </c>
      <c r="N21" s="29" t="str">
        <f>IF(أرقام!M21="","",INDEX(الفصول!$A$2:$B$13,MATCH(أرقام!M21,الفصول!$A$2:$A$13,0),2))</f>
        <v/>
      </c>
      <c r="O21" s="29" t="str">
        <f>IF(أرقام!N21="","",INDEX(الفصول!$A$2:$B$13,MATCH(أرقام!N21,الفصول!$A$2:$A$13,0),2))</f>
        <v>2 ث ب</v>
      </c>
      <c r="P21" s="29" t="str">
        <f>IF(أرقام!O21="","",INDEX(الفصول!$A$2:$B$13,MATCH(أرقام!O21,الفصول!$A$2:$A$13,0),2))</f>
        <v>1 ث ب</v>
      </c>
      <c r="Q21" s="29" t="str">
        <f>IF(أرقام!P21="","",INDEX(الفصول!$A$2:$B$13,MATCH(أرقام!P21,الفصول!$A$2:$A$13,0),2))</f>
        <v>1 ث أ</v>
      </c>
      <c r="R21" s="29" t="str">
        <f>IF(أرقام!Q21="","",INDEX(الفصول!$A$2:$B$13,MATCH(أرقام!Q21,الفصول!$A$2:$A$13,0),2))</f>
        <v/>
      </c>
      <c r="S21" s="29" t="str">
        <f>IF(أرقام!R21="","",INDEX(الفصول!$A$2:$B$13,MATCH(أرقام!R21,الفصول!$A$2:$A$13,0),2))</f>
        <v>1 ث أ</v>
      </c>
      <c r="T21" s="29" t="str">
        <f>IF(أرقام!S21="","",INDEX(الفصول!$A$2:$B$13,MATCH(أرقام!S21,الفصول!$A$2:$A$13,0),2))</f>
        <v>1 ث أ</v>
      </c>
      <c r="U21" s="29" t="str">
        <f>IF(أرقام!T21="","",INDEX(الفصول!$A$2:$B$13,MATCH(أرقام!T21,الفصول!$A$2:$A$13,0),2))</f>
        <v>1 ث ب</v>
      </c>
      <c r="V21" s="29" t="str">
        <f>IF(أرقام!U21="","",INDEX(الفصول!$A$2:$B$13,MATCH(أرقام!U21,الفصول!$A$2:$A$13,0),2))</f>
        <v>2 ث ب</v>
      </c>
      <c r="W21" s="29" t="str">
        <f>IF(أرقام!V21="","",INDEX(الفصول!$A$2:$B$13,MATCH(أرقام!V21,الفصول!$A$2:$A$13,0),2))</f>
        <v>2 ث أ</v>
      </c>
      <c r="X21" s="29" t="str">
        <f>IF(أرقام!W21="","",INDEX(الفصول!$A$2:$B$13,MATCH(أرقام!W21,الفصول!$A$2:$A$13,0),2))</f>
        <v/>
      </c>
      <c r="Y21" s="29" t="str">
        <f>IF(أرقام!X21="","",INDEX(الفصول!$A$2:$B$13,MATCH(أرقام!X21,الفصول!$A$2:$A$13,0),2))</f>
        <v/>
      </c>
      <c r="Z21" s="29" t="str">
        <f>IF(أرقام!Y21="","",INDEX(الفصول!$A$2:$B$13,MATCH(أرقام!Y21,الفصول!$A$2:$A$13,0),2))</f>
        <v/>
      </c>
      <c r="AA21" s="29" t="str">
        <f>IF(أرقام!Z21="","",INDEX(الفصول!$A$2:$B$13,MATCH(أرقام!Z21,الفصول!$A$2:$A$13,0),2))</f>
        <v>1 ث أ</v>
      </c>
      <c r="AB21" s="29" t="str">
        <f>IF(أرقام!AA21="","",INDEX(الفصول!$A$2:$B$13,MATCH(أرقام!AA21,الفصول!$A$2:$A$13,0),2))</f>
        <v>1 ث ب</v>
      </c>
      <c r="AC21" s="29" t="str">
        <f>IF(أرقام!AB21="","",INDEX(الفصول!$A$2:$B$13,MATCH(أرقام!AB21,الفصول!$A$2:$A$13,0),2))</f>
        <v>2 ث أ</v>
      </c>
      <c r="AD21" s="29" t="str">
        <f>IF(أرقام!AC21="","",INDEX(الفصول!$A$2:$B$13,MATCH(أرقام!AC21,الفصول!$A$2:$A$13,0),2))</f>
        <v>2 ث ب</v>
      </c>
      <c r="AE21" s="29" t="str">
        <f>IF(أرقام!AD21="","",INDEX(الفصول!$A$2:$B$13,MATCH(أرقام!AD21,الفصول!$A$2:$A$13,0),2))</f>
        <v/>
      </c>
      <c r="AF21" s="29" t="str">
        <f>IF(أرقام!AE21="","",INDEX(الفصول!$A$2:$B$13,MATCH(أرقام!AE21,الفصول!$A$2:$A$13,0),2))</f>
        <v/>
      </c>
      <c r="AG21" s="29" t="str">
        <f>IF(أرقام!AF21="","",INDEX(الفصول!$A$2:$B$13,MATCH(أرقام!AF21,الفصول!$A$2:$A$13,0),2))</f>
        <v>2 ث أ</v>
      </c>
      <c r="AH21" s="29" t="str">
        <f>IF(أرقام!AG21="","",INDEX(الفصول!$A$2:$B$13,MATCH(أرقام!AG21,الفصول!$A$2:$A$13,0),2))</f>
        <v>1 ث ب</v>
      </c>
      <c r="AI21" s="29" t="str">
        <f>IF(أرقام!AH21="","",INDEX(الفصول!$A$2:$B$13,MATCH(أرقام!AH21,الفصول!$A$2:$A$13,0),2))</f>
        <v/>
      </c>
      <c r="AJ21" s="29" t="str">
        <f>IF(أرقام!AI21="","",INDEX(الفصول!$A$2:$B$13,MATCH(أرقام!AI21,الفصول!$A$2:$A$13,0),2))</f>
        <v/>
      </c>
      <c r="AK21" s="29" t="str">
        <f>IF(أرقام!AJ21="","",INDEX(الفصول!$A$2:$B$13,MATCH(أرقام!AJ21,الفصول!$A$2:$A$13,0),2))</f>
        <v/>
      </c>
      <c r="AL21" s="29" t="str">
        <f>IF(أرقام!AK21="","",INDEX(الفصول!$A$2:$B$13,MATCH(أرقام!AK21,الفصول!$A$2:$A$13,0),2))</f>
        <v/>
      </c>
    </row>
    <row r="22" spans="2:38" ht="14.65" thickBot="1" x14ac:dyDescent="0.5">
      <c r="B22" s="29">
        <f t="shared" si="0"/>
        <v>19</v>
      </c>
      <c r="C22" s="30" t="str">
        <f>أرقام!A22</f>
        <v>محمود</v>
      </c>
      <c r="D22" s="29" t="str">
        <f>IF(أرقام!C22="","",INDEX(الفصول!$A$2:$B$13,MATCH(أرقام!C22,الفصول!$A$2:$A$13,0),2))</f>
        <v/>
      </c>
      <c r="E22" s="29" t="str">
        <f>IF(أرقام!D22="","",INDEX(الفصول!$A$2:$B$13,MATCH(أرقام!D22,الفصول!$A$2:$A$13,0),2))</f>
        <v>3 ث ب</v>
      </c>
      <c r="F22" s="29" t="str">
        <f>IF(أرقام!E22="","",INDEX(الفصول!$A$2:$B$13,MATCH(أرقام!E22,الفصول!$A$2:$A$13,0),2))</f>
        <v/>
      </c>
      <c r="G22" s="29" t="str">
        <f>IF(أرقام!F22="","",INDEX(الفصول!$A$2:$B$13,MATCH(أرقام!F22,الفصول!$A$2:$A$13,0),2))</f>
        <v/>
      </c>
      <c r="H22" s="29" t="str">
        <f>IF(أرقام!G22="","",INDEX(الفصول!$A$2:$B$13,MATCH(أرقام!G22,الفصول!$A$2:$A$13,0),2))</f>
        <v/>
      </c>
      <c r="I22" s="29" t="str">
        <f>IF(أرقام!H22="","",INDEX(الفصول!$A$2:$B$13,MATCH(أرقام!H22,الفصول!$A$2:$A$13,0),2))</f>
        <v/>
      </c>
      <c r="J22" s="29" t="str">
        <f>IF(أرقام!I22="","",INDEX(الفصول!$A$2:$B$13,MATCH(أرقام!I22,الفصول!$A$2:$A$13,0),2))</f>
        <v>3 ث أ</v>
      </c>
      <c r="K22" s="29" t="str">
        <f>IF(أرقام!J22="","",INDEX(الفصول!$A$2:$B$13,MATCH(أرقام!J22,الفصول!$A$2:$A$13,0),2))</f>
        <v>3 ث ب</v>
      </c>
      <c r="L22" s="29" t="str">
        <f>IF(أرقام!K22="","",INDEX(الفصول!$A$2:$B$13,MATCH(أرقام!K22,الفصول!$A$2:$A$13,0),2))</f>
        <v/>
      </c>
      <c r="M22" s="29" t="str">
        <f>IF(أرقام!L22="","",INDEX(الفصول!$A$2:$B$13,MATCH(أرقام!L22,الفصول!$A$2:$A$13,0),2))</f>
        <v>3 ث أ</v>
      </c>
      <c r="N22" s="29" t="str">
        <f>IF(أرقام!M22="","",INDEX(الفصول!$A$2:$B$13,MATCH(أرقام!M22,الفصول!$A$2:$A$13,0),2))</f>
        <v/>
      </c>
      <c r="O22" s="29" t="str">
        <f>IF(أرقام!N22="","",INDEX(الفصول!$A$2:$B$13,MATCH(أرقام!N22,الفصول!$A$2:$A$13,0),2))</f>
        <v/>
      </c>
      <c r="P22" s="29" t="str">
        <f>IF(أرقام!O22="","",INDEX(الفصول!$A$2:$B$13,MATCH(أرقام!O22,الفصول!$A$2:$A$13,0),2))</f>
        <v/>
      </c>
      <c r="Q22" s="29" t="str">
        <f>IF(أرقام!P22="","",INDEX(الفصول!$A$2:$B$13,MATCH(أرقام!P22,الفصول!$A$2:$A$13,0),2))</f>
        <v/>
      </c>
      <c r="R22" s="29" t="str">
        <f>IF(أرقام!Q22="","",INDEX(الفصول!$A$2:$B$13,MATCH(أرقام!Q22,الفصول!$A$2:$A$13,0),2))</f>
        <v>3 ث ب</v>
      </c>
      <c r="S22" s="29" t="str">
        <f>IF(أرقام!R22="","",INDEX(الفصول!$A$2:$B$13,MATCH(أرقام!R22,الفصول!$A$2:$A$13,0),2))</f>
        <v/>
      </c>
      <c r="T22" s="29" t="str">
        <f>IF(أرقام!S22="","",INDEX(الفصول!$A$2:$B$13,MATCH(أرقام!S22,الفصول!$A$2:$A$13,0),2))</f>
        <v/>
      </c>
      <c r="U22" s="29" t="str">
        <f>IF(أرقام!T22="","",INDEX(الفصول!$A$2:$B$13,MATCH(أرقام!T22,الفصول!$A$2:$A$13,0),2))</f>
        <v/>
      </c>
      <c r="V22" s="29" t="str">
        <f>IF(أرقام!U22="","",INDEX(الفصول!$A$2:$B$13,MATCH(أرقام!U22,الفصول!$A$2:$A$13,0),2))</f>
        <v/>
      </c>
      <c r="W22" s="29" t="str">
        <f>IF(أرقام!V22="","",INDEX(الفصول!$A$2:$B$13,MATCH(أرقام!V22,الفصول!$A$2:$A$13,0),2))</f>
        <v/>
      </c>
      <c r="X22" s="29" t="str">
        <f>IF(أرقام!W22="","",INDEX(الفصول!$A$2:$B$13,MATCH(أرقام!W22,الفصول!$A$2:$A$13,0),2))</f>
        <v/>
      </c>
      <c r="Y22" s="29" t="str">
        <f>IF(أرقام!X22="","",INDEX(الفصول!$A$2:$B$13,MATCH(أرقام!X22,الفصول!$A$2:$A$13,0),2))</f>
        <v/>
      </c>
      <c r="Z22" s="29" t="str">
        <f>IF(أرقام!Y22="","",INDEX(الفصول!$A$2:$B$13,MATCH(أرقام!Y22,الفصول!$A$2:$A$13,0),2))</f>
        <v>3 ث ب</v>
      </c>
      <c r="AA22" s="29" t="str">
        <f>IF(أرقام!Z22="","",INDEX(الفصول!$A$2:$B$13,MATCH(أرقام!Z22,الفصول!$A$2:$A$13,0),2))</f>
        <v>3 ث أ</v>
      </c>
      <c r="AB22" s="29" t="str">
        <f>IF(أرقام!AA22="","",INDEX(الفصول!$A$2:$B$13,MATCH(أرقام!AA22,الفصول!$A$2:$A$13,0),2))</f>
        <v/>
      </c>
      <c r="AC22" s="29" t="str">
        <f>IF(أرقام!AB22="","",INDEX(الفصول!$A$2:$B$13,MATCH(أرقام!AB22,الفصول!$A$2:$A$13,0),2))</f>
        <v/>
      </c>
      <c r="AD22" s="29" t="str">
        <f>IF(أرقام!AC22="","",INDEX(الفصول!$A$2:$B$13,MATCH(أرقام!AC22,الفصول!$A$2:$A$13,0),2))</f>
        <v/>
      </c>
      <c r="AE22" s="29" t="str">
        <f>IF(أرقام!AD22="","",INDEX(الفصول!$A$2:$B$13,MATCH(أرقام!AD22,الفصول!$A$2:$A$13,0),2))</f>
        <v/>
      </c>
      <c r="AF22" s="29" t="str">
        <f>IF(أرقام!AE22="","",INDEX(الفصول!$A$2:$B$13,MATCH(أرقام!AE22,الفصول!$A$2:$A$13,0),2))</f>
        <v/>
      </c>
      <c r="AG22" s="29" t="str">
        <f>IF(أرقام!AF22="","",INDEX(الفصول!$A$2:$B$13,MATCH(أرقام!AF22,الفصول!$A$2:$A$13,0),2))</f>
        <v/>
      </c>
      <c r="AH22" s="29" t="str">
        <f>IF(أرقام!AG22="","",INDEX(الفصول!$A$2:$B$13,MATCH(أرقام!AG22,الفصول!$A$2:$A$13,0),2))</f>
        <v>3 ث أ</v>
      </c>
      <c r="AI22" s="29" t="str">
        <f>IF(أرقام!AH22="","",INDEX(الفصول!$A$2:$B$13,MATCH(أرقام!AH22,الفصول!$A$2:$A$13,0),2))</f>
        <v>3 ث أ</v>
      </c>
      <c r="AJ22" s="29" t="str">
        <f>IF(أرقام!AI22="","",INDEX(الفصول!$A$2:$B$13,MATCH(أرقام!AI22,الفصول!$A$2:$A$13,0),2))</f>
        <v/>
      </c>
      <c r="AK22" s="29" t="str">
        <f>IF(أرقام!AJ22="","",INDEX(الفصول!$A$2:$B$13,MATCH(أرقام!AJ22,الفصول!$A$2:$A$13,0),2))</f>
        <v>3 ث ب</v>
      </c>
      <c r="AL22" s="29" t="str">
        <f>IF(أرقام!AK22="","",INDEX(الفصول!$A$2:$B$13,MATCH(أرقام!AK22,الفصول!$A$2:$A$13,0),2))</f>
        <v/>
      </c>
    </row>
    <row r="23" spans="2:38" ht="14.65" thickBot="1" x14ac:dyDescent="0.5">
      <c r="B23" s="29">
        <f t="shared" si="0"/>
        <v>20</v>
      </c>
      <c r="C23" s="30" t="str">
        <f>أرقام!A23</f>
        <v>حسين سالم</v>
      </c>
      <c r="D23" s="29" t="str">
        <f>IF(أرقام!C23="","",INDEX(الفصول!$A$2:$B$13,MATCH(أرقام!C23,الفصول!$A$2:$A$13,0),2))</f>
        <v>1 ث أ</v>
      </c>
      <c r="E23" s="29" t="str">
        <f>IF(أرقام!D23="","",INDEX(الفصول!$A$2:$B$13,MATCH(أرقام!D23,الفصول!$A$2:$A$13,0),2))</f>
        <v>1 ث ب</v>
      </c>
      <c r="F23" s="29" t="str">
        <f>IF(أرقام!E23="","",INDEX(الفصول!$A$2:$B$13,MATCH(أرقام!E23,الفصول!$A$2:$A$13,0),2))</f>
        <v/>
      </c>
      <c r="G23" s="29" t="str">
        <f>IF(أرقام!F23="","",INDEX(الفصول!$A$2:$B$13,MATCH(أرقام!F23,الفصول!$A$2:$A$13,0),2))</f>
        <v/>
      </c>
      <c r="H23" s="29" t="str">
        <f>IF(أرقام!G23="","",INDEX(الفصول!$A$2:$B$13,MATCH(أرقام!G23,الفصول!$A$2:$A$13,0),2))</f>
        <v/>
      </c>
      <c r="I23" s="29" t="str">
        <f>IF(أرقام!H23="","",INDEX(الفصول!$A$2:$B$13,MATCH(أرقام!H23,الفصول!$A$2:$A$13,0),2))</f>
        <v/>
      </c>
      <c r="J23" s="29" t="str">
        <f>IF(أرقام!I23="","",INDEX(الفصول!$A$2:$B$13,MATCH(أرقام!I23,الفصول!$A$2:$A$13,0),2))</f>
        <v/>
      </c>
      <c r="K23" s="29" t="str">
        <f>IF(أرقام!J23="","",INDEX(الفصول!$A$2:$B$13,MATCH(أرقام!J23,الفصول!$A$2:$A$13,0),2))</f>
        <v/>
      </c>
      <c r="L23" s="29" t="str">
        <f>IF(أرقام!K23="","",INDEX(الفصول!$A$2:$B$13,MATCH(أرقام!K23,الفصول!$A$2:$A$13,0),2))</f>
        <v/>
      </c>
      <c r="M23" s="29" t="str">
        <f>IF(أرقام!L23="","",INDEX(الفصول!$A$2:$B$13,MATCH(أرقام!L23,الفصول!$A$2:$A$13,0),2))</f>
        <v>2 ث أ</v>
      </c>
      <c r="N23" s="29" t="str">
        <f>IF(أرقام!M23="","",INDEX(الفصول!$A$2:$B$13,MATCH(أرقام!M23,الفصول!$A$2:$A$13,0),2))</f>
        <v/>
      </c>
      <c r="O23" s="29" t="str">
        <f>IF(أرقام!N23="","",INDEX(الفصول!$A$2:$B$13,MATCH(أرقام!N23,الفصول!$A$2:$A$13,0),2))</f>
        <v>1 ث أ</v>
      </c>
      <c r="P23" s="29" t="str">
        <f>IF(أرقام!O23="","",INDEX(الفصول!$A$2:$B$13,MATCH(أرقام!O23,الفصول!$A$2:$A$13,0),2))</f>
        <v>2 ث أ</v>
      </c>
      <c r="Q23" s="29" t="str">
        <f>IF(أرقام!P23="","",INDEX(الفصول!$A$2:$B$13,MATCH(أرقام!P23,الفصول!$A$2:$A$13,0),2))</f>
        <v>2 ث ب</v>
      </c>
      <c r="R23" s="29" t="str">
        <f>IF(أرقام!Q23="","",INDEX(الفصول!$A$2:$B$13,MATCH(أرقام!Q23,الفصول!$A$2:$A$13,0),2))</f>
        <v>2 ث أ</v>
      </c>
      <c r="S23" s="29" t="str">
        <f>IF(أرقام!R23="","",INDEX(الفصول!$A$2:$B$13,MATCH(أرقام!R23,الفصول!$A$2:$A$13,0),2))</f>
        <v>1 ث ب</v>
      </c>
      <c r="T23" s="29" t="str">
        <f>IF(أرقام!S23="","",INDEX(الفصول!$A$2:$B$13,MATCH(أرقام!S23,الفصول!$A$2:$A$13,0),2))</f>
        <v>2 ث ب</v>
      </c>
      <c r="U23" s="29" t="str">
        <f>IF(أرقام!T23="","",INDEX(الفصول!$A$2:$B$13,MATCH(أرقام!T23,الفصول!$A$2:$A$13,0),2))</f>
        <v/>
      </c>
      <c r="V23" s="29" t="str">
        <f>IF(أرقام!U23="","",INDEX(الفصول!$A$2:$B$13,MATCH(أرقام!U23,الفصول!$A$2:$A$13,0),2))</f>
        <v/>
      </c>
      <c r="W23" s="29" t="str">
        <f>IF(أرقام!V23="","",INDEX(الفصول!$A$2:$B$13,MATCH(أرقام!V23,الفصول!$A$2:$A$13,0),2))</f>
        <v/>
      </c>
      <c r="X23" s="29" t="str">
        <f>IF(أرقام!W23="","",INDEX(الفصول!$A$2:$B$13,MATCH(أرقام!W23,الفصول!$A$2:$A$13,0),2))</f>
        <v/>
      </c>
      <c r="Y23" s="29" t="str">
        <f>IF(أرقام!X23="","",INDEX(الفصول!$A$2:$B$13,MATCH(أرقام!X23,الفصول!$A$2:$A$13,0),2))</f>
        <v/>
      </c>
      <c r="Z23" s="29" t="str">
        <f>IF(أرقام!Y23="","",INDEX(الفصول!$A$2:$B$13,MATCH(أرقام!Y23,الفصول!$A$2:$A$13,0),2))</f>
        <v>2 ث ب</v>
      </c>
      <c r="AA23" s="29" t="str">
        <f>IF(أرقام!Z23="","",INDEX(الفصول!$A$2:$B$13,MATCH(أرقام!Z23,الفصول!$A$2:$A$13,0),2))</f>
        <v>2 ث أ</v>
      </c>
      <c r="AB23" s="29" t="str">
        <f>IF(أرقام!AA23="","",INDEX(الفصول!$A$2:$B$13,MATCH(أرقام!AA23,الفصول!$A$2:$A$13,0),2))</f>
        <v/>
      </c>
      <c r="AC23" s="29" t="str">
        <f>IF(أرقام!AB23="","",INDEX(الفصول!$A$2:$B$13,MATCH(أرقام!AB23,الفصول!$A$2:$A$13,0),2))</f>
        <v/>
      </c>
      <c r="AD23" s="29" t="str">
        <f>IF(أرقام!AC23="","",INDEX(الفصول!$A$2:$B$13,MATCH(أرقام!AC23,الفصول!$A$2:$A$13,0),2))</f>
        <v/>
      </c>
      <c r="AE23" s="29" t="str">
        <f>IF(أرقام!AD23="","",INDEX(الفصول!$A$2:$B$13,MATCH(أرقام!AD23,الفصول!$A$2:$A$13,0),2))</f>
        <v/>
      </c>
      <c r="AF23" s="29" t="str">
        <f>IF(أرقام!AE23="","",INDEX(الفصول!$A$2:$B$13,MATCH(أرقام!AE23,الفصول!$A$2:$A$13,0),2))</f>
        <v>2 ث ب</v>
      </c>
      <c r="AG23" s="29" t="str">
        <f>IF(أرقام!AF23="","",INDEX(الفصول!$A$2:$B$13,MATCH(أرقام!AF23,الفصول!$A$2:$A$13,0),2))</f>
        <v/>
      </c>
      <c r="AH23" s="29" t="str">
        <f>IF(أرقام!AG23="","",INDEX(الفصول!$A$2:$B$13,MATCH(أرقام!AG23,الفصول!$A$2:$A$13,0),2))</f>
        <v>2 ث أ</v>
      </c>
      <c r="AI23" s="29" t="str">
        <f>IF(أرقام!AH23="","",INDEX(الفصول!$A$2:$B$13,MATCH(أرقام!AH23,الفصول!$A$2:$A$13,0),2))</f>
        <v>2 ث ب</v>
      </c>
      <c r="AJ23" s="29" t="str">
        <f>IF(أرقام!AI23="","",INDEX(الفصول!$A$2:$B$13,MATCH(أرقام!AI23,الفصول!$A$2:$A$13,0),2))</f>
        <v>1 ث ب</v>
      </c>
      <c r="AK23" s="29" t="str">
        <f>IF(أرقام!AJ23="","",INDEX(الفصول!$A$2:$B$13,MATCH(أرقام!AJ23,الفصول!$A$2:$A$13,0),2))</f>
        <v>1 ث أ</v>
      </c>
      <c r="AL23" s="29" t="str">
        <f>IF(أرقام!AK23="","",INDEX(الفصول!$A$2:$B$13,MATCH(أرقام!AK23,الفصول!$A$2:$A$13,0),2))</f>
        <v/>
      </c>
    </row>
    <row r="24" spans="2:38" ht="14.65" thickBot="1" x14ac:dyDescent="0.5">
      <c r="B24" s="29">
        <f t="shared" si="0"/>
        <v>21</v>
      </c>
      <c r="C24" s="30" t="str">
        <f>أرقام!A24</f>
        <v>حسين الفيفيي</v>
      </c>
      <c r="D24" s="29" t="str">
        <f>IF(أرقام!C24="","",INDEX(الفصول!$A$2:$B$13,MATCH(أرقام!C24,الفصول!$A$2:$A$13,0),2))</f>
        <v/>
      </c>
      <c r="E24" s="29" t="str">
        <f>IF(أرقام!D24="","",INDEX(الفصول!$A$2:$B$13,MATCH(أرقام!D24,الفصول!$A$2:$A$13,0),2))</f>
        <v/>
      </c>
      <c r="F24" s="29" t="str">
        <f>IF(أرقام!E24="","",INDEX(الفصول!$A$2:$B$13,MATCH(أرقام!E24,الفصول!$A$2:$A$13,0),2))</f>
        <v/>
      </c>
      <c r="G24" s="29" t="str">
        <f>IF(أرقام!F24="","",INDEX(الفصول!$A$2:$B$13,MATCH(أرقام!F24,الفصول!$A$2:$A$13,0),2))</f>
        <v>2 م أ</v>
      </c>
      <c r="H24" s="29" t="str">
        <f>IF(أرقام!G24="","",INDEX(الفصول!$A$2:$B$13,MATCH(أرقام!G24,الفصول!$A$2:$A$13,0),2))</f>
        <v/>
      </c>
      <c r="I24" s="29" t="str">
        <f>IF(أرقام!H24="","",INDEX(الفصول!$A$2:$B$13,MATCH(أرقام!H24,الفصول!$A$2:$A$13,0),2))</f>
        <v>3 ث أ</v>
      </c>
      <c r="J24" s="29" t="str">
        <f>IF(أرقام!I24="","",INDEX(الفصول!$A$2:$B$13,MATCH(أرقام!I24,الفصول!$A$2:$A$13,0),2))</f>
        <v>3 ث ب</v>
      </c>
      <c r="K24" s="29" t="str">
        <f>IF(أرقام!J24="","",INDEX(الفصول!$A$2:$B$13,MATCH(أرقام!J24,الفصول!$A$2:$A$13,0),2))</f>
        <v/>
      </c>
      <c r="L24" s="29" t="str">
        <f>IF(أرقام!K24="","",INDEX(الفصول!$A$2:$B$13,MATCH(أرقام!K24,الفصول!$A$2:$A$13,0),2))</f>
        <v>3 ث ب</v>
      </c>
      <c r="M24" s="29" t="str">
        <f>IF(أرقام!L24="","",INDEX(الفصول!$A$2:$B$13,MATCH(أرقام!L24,الفصول!$A$2:$A$13,0),2))</f>
        <v>2 م ب</v>
      </c>
      <c r="N24" s="29" t="str">
        <f>IF(أرقام!M24="","",INDEX(الفصول!$A$2:$B$13,MATCH(أرقام!M24,الفصول!$A$2:$A$13,0),2))</f>
        <v>3 ث أ</v>
      </c>
      <c r="O24" s="29" t="str">
        <f>IF(أرقام!N24="","",INDEX(الفصول!$A$2:$B$13,MATCH(أرقام!N24,الفصول!$A$2:$A$13,0),2))</f>
        <v/>
      </c>
      <c r="P24" s="29" t="str">
        <f>IF(أرقام!O24="","",INDEX(الفصول!$A$2:$B$13,MATCH(أرقام!O24,الفصول!$A$2:$A$13,0),2))</f>
        <v>2 م ب</v>
      </c>
      <c r="Q24" s="29" t="str">
        <f>IF(أرقام!P24="","",INDEX(الفصول!$A$2:$B$13,MATCH(أرقام!P24,الفصول!$A$2:$A$13,0),2))</f>
        <v>2 م ب</v>
      </c>
      <c r="R24" s="29" t="str">
        <f>IF(أرقام!Q24="","",INDEX(الفصول!$A$2:$B$13,MATCH(أرقام!Q24,الفصول!$A$2:$A$13,0),2))</f>
        <v/>
      </c>
      <c r="S24" s="29" t="str">
        <f>IF(أرقام!R24="","",INDEX(الفصول!$A$2:$B$13,MATCH(أرقام!R24,الفصول!$A$2:$A$13,0),2))</f>
        <v/>
      </c>
      <c r="T24" s="29" t="str">
        <f>IF(أرقام!S24="","",INDEX(الفصول!$A$2:$B$13,MATCH(أرقام!S24,الفصول!$A$2:$A$13,0),2))</f>
        <v>2 م أ</v>
      </c>
      <c r="U24" s="29" t="str">
        <f>IF(أرقام!T24="","",INDEX(الفصول!$A$2:$B$13,MATCH(أرقام!T24,الفصول!$A$2:$A$13,0),2))</f>
        <v/>
      </c>
      <c r="V24" s="29" t="str">
        <f>IF(أرقام!U24="","",INDEX(الفصول!$A$2:$B$13,MATCH(أرقام!U24,الفصول!$A$2:$A$13,0),2))</f>
        <v/>
      </c>
      <c r="W24" s="29" t="str">
        <f>IF(أرقام!V24="","",INDEX(الفصول!$A$2:$B$13,MATCH(أرقام!V24,الفصول!$A$2:$A$13,0),2))</f>
        <v/>
      </c>
      <c r="X24" s="29" t="str">
        <f>IF(أرقام!W24="","",INDEX(الفصول!$A$2:$B$13,MATCH(أرقام!W24,الفصول!$A$2:$A$13,0),2))</f>
        <v/>
      </c>
      <c r="Y24" s="29" t="str">
        <f>IF(أرقام!X24="","",INDEX(الفصول!$A$2:$B$13,MATCH(أرقام!X24,الفصول!$A$2:$A$13,0),2))</f>
        <v/>
      </c>
      <c r="Z24" s="29" t="str">
        <f>IF(أرقام!Y24="","",INDEX(الفصول!$A$2:$B$13,MATCH(أرقام!Y24,الفصول!$A$2:$A$13,0),2))</f>
        <v/>
      </c>
      <c r="AA24" s="29" t="str">
        <f>IF(أرقام!Z24="","",INDEX(الفصول!$A$2:$B$13,MATCH(أرقام!Z24,الفصول!$A$2:$A$13,0),2))</f>
        <v>2 م ب</v>
      </c>
      <c r="AB24" s="29" t="str">
        <f>IF(أرقام!AA24="","",INDEX(الفصول!$A$2:$B$13,MATCH(أرقام!AA24,الفصول!$A$2:$A$13,0),2))</f>
        <v>3 ث أ</v>
      </c>
      <c r="AC24" s="29" t="str">
        <f>IF(أرقام!AB24="","",INDEX(الفصول!$A$2:$B$13,MATCH(أرقام!AB24,الفصول!$A$2:$A$13,0),2))</f>
        <v>2 م أ</v>
      </c>
      <c r="AD24" s="29" t="str">
        <f>IF(أرقام!AC24="","",INDEX(الفصول!$A$2:$B$13,MATCH(أرقام!AC24,الفصول!$A$2:$A$13,0),2))</f>
        <v>3 ث ب</v>
      </c>
      <c r="AE24" s="29" t="str">
        <f>IF(أرقام!AD24="","",INDEX(الفصول!$A$2:$B$13,MATCH(أرقام!AD24,الفصول!$A$2:$A$13,0),2))</f>
        <v/>
      </c>
      <c r="AF24" s="29" t="str">
        <f>IF(أرقام!AE24="","",INDEX(الفصول!$A$2:$B$13,MATCH(أرقام!AE24,الفصول!$A$2:$A$13,0),2))</f>
        <v>2 م أ</v>
      </c>
      <c r="AG24" s="29" t="str">
        <f>IF(أرقام!AF24="","",INDEX(الفصول!$A$2:$B$13,MATCH(أرقام!AF24,الفصول!$A$2:$A$13,0),2))</f>
        <v/>
      </c>
      <c r="AH24" s="29" t="str">
        <f>IF(أرقام!AG24="","",INDEX(الفصول!$A$2:$B$13,MATCH(أرقام!AG24,الفصول!$A$2:$A$13,0),2))</f>
        <v/>
      </c>
      <c r="AI24" s="29" t="str">
        <f>IF(أرقام!AH24="","",INDEX(الفصول!$A$2:$B$13,MATCH(أرقام!AH24,الفصول!$A$2:$A$13,0),2))</f>
        <v/>
      </c>
      <c r="AJ24" s="29" t="str">
        <f>IF(أرقام!AI24="","",INDEX(الفصول!$A$2:$B$13,MATCH(أرقام!AI24,الفصول!$A$2:$A$13,0),2))</f>
        <v/>
      </c>
      <c r="AK24" s="29" t="str">
        <f>IF(أرقام!AJ24="","",INDEX(الفصول!$A$2:$B$13,MATCH(أرقام!AJ24,الفصول!$A$2:$A$13,0),2))</f>
        <v/>
      </c>
      <c r="AL24" s="29" t="str">
        <f>IF(أرقام!AK24="","",INDEX(الفصول!$A$2:$B$13,MATCH(أرقام!AK24,الفصول!$A$2:$A$13,0),2))</f>
        <v/>
      </c>
    </row>
    <row r="25" spans="2:38" ht="14.65" thickBot="1" x14ac:dyDescent="0.5">
      <c r="B25" s="29">
        <f t="shared" si="0"/>
        <v>22</v>
      </c>
      <c r="C25" s="30" t="str">
        <f>أرقام!A25</f>
        <v>ابراهيم</v>
      </c>
      <c r="D25" s="29" t="str">
        <f>IF(أرقام!C25="","",INDEX(الفصول!$A$2:$B$13,MATCH(أرقام!C25,الفصول!$A$2:$A$13,0),2))</f>
        <v>3 ث ب</v>
      </c>
      <c r="E25" s="29" t="str">
        <f>IF(أرقام!D25="","",INDEX(الفصول!$A$2:$B$13,MATCH(أرقام!D25,الفصول!$A$2:$A$13,0),2))</f>
        <v/>
      </c>
      <c r="F25" s="29" t="str">
        <f>IF(أرقام!E25="","",INDEX(الفصول!$A$2:$B$13,MATCH(أرقام!E25,الفصول!$A$2:$A$13,0),2))</f>
        <v/>
      </c>
      <c r="G25" s="29" t="str">
        <f>IF(أرقام!F25="","",INDEX(الفصول!$A$2:$B$13,MATCH(أرقام!F25,الفصول!$A$2:$A$13,0),2))</f>
        <v/>
      </c>
      <c r="H25" s="29" t="str">
        <f>IF(أرقام!G25="","",INDEX(الفصول!$A$2:$B$13,MATCH(أرقام!G25,الفصول!$A$2:$A$13,0),2))</f>
        <v/>
      </c>
      <c r="I25" s="29" t="str">
        <f>IF(أرقام!H25="","",INDEX(الفصول!$A$2:$B$13,MATCH(أرقام!H25,الفصول!$A$2:$A$13,0),2))</f>
        <v/>
      </c>
      <c r="J25" s="29" t="str">
        <f>IF(أرقام!I25="","",INDEX(الفصول!$A$2:$B$13,MATCH(أرقام!I25,الفصول!$A$2:$A$13,0),2))</f>
        <v xml:space="preserve">1 م </v>
      </c>
      <c r="K25" s="29" t="str">
        <f>IF(أرقام!J25="","",INDEX(الفصول!$A$2:$B$13,MATCH(أرقام!J25,الفصول!$A$2:$A$13,0),2))</f>
        <v/>
      </c>
      <c r="L25" s="29" t="str">
        <f>IF(أرقام!K25="","",INDEX(الفصول!$A$2:$B$13,MATCH(أرقام!K25,الفصول!$A$2:$A$13,0),2))</f>
        <v>3 ث أ</v>
      </c>
      <c r="M25" s="29" t="str">
        <f>IF(أرقام!L25="","",INDEX(الفصول!$A$2:$B$13,MATCH(أرقام!L25,الفصول!$A$2:$A$13,0),2))</f>
        <v>3 ث ب</v>
      </c>
      <c r="N25" s="29" t="str">
        <f>IF(أرقام!M25="","",INDEX(الفصول!$A$2:$B$13,MATCH(أرقام!M25,الفصول!$A$2:$A$13,0),2))</f>
        <v xml:space="preserve">1 م </v>
      </c>
      <c r="O25" s="29" t="str">
        <f>IF(أرقام!N25="","",INDEX(الفصول!$A$2:$B$13,MATCH(أرقام!N25,الفصول!$A$2:$A$13,0),2))</f>
        <v xml:space="preserve">1 م </v>
      </c>
      <c r="P25" s="29" t="str">
        <f>IF(أرقام!O25="","",INDEX(الفصول!$A$2:$B$13,MATCH(أرقام!O25,الفصول!$A$2:$A$13,0),2))</f>
        <v/>
      </c>
      <c r="Q25" s="29" t="str">
        <f>IF(أرقام!P25="","",INDEX(الفصول!$A$2:$B$13,MATCH(أرقام!P25,الفصول!$A$2:$A$13,0),2))</f>
        <v>3 ث أ</v>
      </c>
      <c r="R25" s="29" t="str">
        <f>IF(أرقام!Q25="","",INDEX(الفصول!$A$2:$B$13,MATCH(أرقام!Q25,الفصول!$A$2:$A$13,0),2))</f>
        <v/>
      </c>
      <c r="S25" s="29" t="str">
        <f>IF(أرقام!R25="","",INDEX(الفصول!$A$2:$B$13,MATCH(أرقام!R25,الفصول!$A$2:$A$13,0),2))</f>
        <v/>
      </c>
      <c r="T25" s="29" t="str">
        <f>IF(أرقام!S25="","",INDEX(الفصول!$A$2:$B$13,MATCH(أرقام!S25,الفصول!$A$2:$A$13,0),2))</f>
        <v/>
      </c>
      <c r="U25" s="29" t="str">
        <f>IF(أرقام!T25="","",INDEX(الفصول!$A$2:$B$13,MATCH(أرقام!T25,الفصول!$A$2:$A$13,0),2))</f>
        <v/>
      </c>
      <c r="V25" s="29" t="str">
        <f>IF(أرقام!U25="","",INDEX(الفصول!$A$2:$B$13,MATCH(أرقام!U25,الفصول!$A$2:$A$13,0),2))</f>
        <v xml:space="preserve">1 م </v>
      </c>
      <c r="W25" s="29" t="str">
        <f>IF(أرقام!V25="","",INDEX(الفصول!$A$2:$B$13,MATCH(أرقام!V25,الفصول!$A$2:$A$13,0),2))</f>
        <v>3 ث أ</v>
      </c>
      <c r="X25" s="29" t="str">
        <f>IF(أرقام!W25="","",INDEX(الفصول!$A$2:$B$13,MATCH(أرقام!W25,الفصول!$A$2:$A$13,0),2))</f>
        <v/>
      </c>
      <c r="Y25" s="29" t="str">
        <f>IF(أرقام!X25="","",INDEX(الفصول!$A$2:$B$13,MATCH(أرقام!X25,الفصول!$A$2:$A$13,0),2))</f>
        <v/>
      </c>
      <c r="Z25" s="29" t="str">
        <f>IF(أرقام!Y25="","",INDEX(الفصول!$A$2:$B$13,MATCH(أرقام!Y25,الفصول!$A$2:$A$13,0),2))</f>
        <v/>
      </c>
      <c r="AA25" s="29" t="str">
        <f>IF(أرقام!Z25="","",INDEX(الفصول!$A$2:$B$13,MATCH(أرقام!Z25,الفصول!$A$2:$A$13,0),2))</f>
        <v>3 ث ب</v>
      </c>
      <c r="AB25" s="29" t="str">
        <f>IF(أرقام!AA25="","",INDEX(الفصول!$A$2:$B$13,MATCH(أرقام!AA25,الفصول!$A$2:$A$13,0),2))</f>
        <v/>
      </c>
      <c r="AC25" s="29" t="str">
        <f>IF(أرقام!AB25="","",INDEX(الفصول!$A$2:$B$13,MATCH(أرقام!AB25,الفصول!$A$2:$A$13,0),2))</f>
        <v/>
      </c>
      <c r="AD25" s="29" t="str">
        <f>IF(أرقام!AC25="","",INDEX(الفصول!$A$2:$B$13,MATCH(أرقام!AC25,الفصول!$A$2:$A$13,0),2))</f>
        <v xml:space="preserve">1 م </v>
      </c>
      <c r="AE25" s="29" t="str">
        <f>IF(أرقام!AD25="","",INDEX(الفصول!$A$2:$B$13,MATCH(أرقام!AD25,الفصول!$A$2:$A$13,0),2))</f>
        <v xml:space="preserve">1 م </v>
      </c>
      <c r="AF25" s="29" t="str">
        <f>IF(أرقام!AE25="","",INDEX(الفصول!$A$2:$B$13,MATCH(أرقام!AE25,الفصول!$A$2:$A$13,0),2))</f>
        <v>3 ث ب</v>
      </c>
      <c r="AG25" s="29" t="str">
        <f>IF(أرقام!AF25="","",INDEX(الفصول!$A$2:$B$13,MATCH(أرقام!AF25,الفصول!$A$2:$A$13,0),2))</f>
        <v>3 ث أ</v>
      </c>
      <c r="AH25" s="29" t="str">
        <f>IF(أرقام!AG25="","",INDEX(الفصول!$A$2:$B$13,MATCH(أرقام!AG25,الفصول!$A$2:$A$13,0),2))</f>
        <v/>
      </c>
      <c r="AI25" s="29" t="str">
        <f>IF(أرقام!AH25="","",INDEX(الفصول!$A$2:$B$13,MATCH(أرقام!AH25,الفصول!$A$2:$A$13,0),2))</f>
        <v/>
      </c>
      <c r="AJ25" s="29" t="str">
        <f>IF(أرقام!AI25="","",INDEX(الفصول!$A$2:$B$13,MATCH(أرقام!AI25,الفصول!$A$2:$A$13,0),2))</f>
        <v/>
      </c>
      <c r="AK25" s="29" t="str">
        <f>IF(أرقام!AJ25="","",INDEX(الفصول!$A$2:$B$13,MATCH(أرقام!AJ25,الفصول!$A$2:$A$13,0),2))</f>
        <v/>
      </c>
      <c r="AL25" s="29" t="str">
        <f>IF(أرقام!AK25="","",INDEX(الفصول!$A$2:$B$13,MATCH(أرقام!AK25,الفصول!$A$2:$A$13,0),2))</f>
        <v/>
      </c>
    </row>
    <row r="26" spans="2:38" ht="14.65" thickBot="1" x14ac:dyDescent="0.5">
      <c r="B26" s="29">
        <f t="shared" si="0"/>
        <v>23</v>
      </c>
      <c r="C26" s="30" t="str">
        <f>أرقام!A26</f>
        <v>سلمان محيي</v>
      </c>
      <c r="D26" s="29" t="str">
        <f>IF(أرقام!C26="","",INDEX(الفصول!$A$2:$B$13,MATCH(أرقام!C26,الفصول!$A$2:$A$13,0),2))</f>
        <v>1 ث ب</v>
      </c>
      <c r="E26" s="29" t="str">
        <f>IF(أرقام!D26="","",INDEX(الفصول!$A$2:$B$13,MATCH(أرقام!D26,الفصول!$A$2:$A$13,0),2))</f>
        <v>2 ث ب</v>
      </c>
      <c r="F26" s="29" t="str">
        <f>IF(أرقام!E26="","",INDEX(الفصول!$A$2:$B$13,MATCH(أرقام!E26,الفصول!$A$2:$A$13,0),2))</f>
        <v/>
      </c>
      <c r="G26" s="29" t="str">
        <f>IF(أرقام!F26="","",INDEX(الفصول!$A$2:$B$13,MATCH(أرقام!F26,الفصول!$A$2:$A$13,0),2))</f>
        <v/>
      </c>
      <c r="H26" s="29" t="str">
        <f>IF(أرقام!G26="","",INDEX(الفصول!$A$2:$B$13,MATCH(أرقام!G26,الفصول!$A$2:$A$13,0),2))</f>
        <v/>
      </c>
      <c r="I26" s="29" t="str">
        <f>IF(أرقام!H26="","",INDEX(الفصول!$A$2:$B$13,MATCH(أرقام!H26,الفصول!$A$2:$A$13,0),2))</f>
        <v/>
      </c>
      <c r="J26" s="29" t="str">
        <f>IF(أرقام!I26="","",INDEX(الفصول!$A$2:$B$13,MATCH(أرقام!I26,الفصول!$A$2:$A$13,0),2))</f>
        <v/>
      </c>
      <c r="K26" s="29" t="str">
        <f>IF(أرقام!J26="","",INDEX(الفصول!$A$2:$B$13,MATCH(أرقام!J26,الفصول!$A$2:$A$13,0),2))</f>
        <v/>
      </c>
      <c r="L26" s="29" t="str">
        <f>IF(أرقام!K26="","",INDEX(الفصول!$A$2:$B$13,MATCH(أرقام!K26,الفصول!$A$2:$A$13,0),2))</f>
        <v/>
      </c>
      <c r="M26" s="29" t="str">
        <f>IF(أرقام!L26="","",INDEX(الفصول!$A$2:$B$13,MATCH(أرقام!L26,الفصول!$A$2:$A$13,0),2))</f>
        <v>1 ث أ</v>
      </c>
      <c r="N26" s="29" t="str">
        <f>IF(أرقام!M26="","",INDEX(الفصول!$A$2:$B$13,MATCH(أرقام!M26,الفصول!$A$2:$A$13,0),2))</f>
        <v>2 ث أ</v>
      </c>
      <c r="O26" s="29" t="str">
        <f>IF(أرقام!N26="","",INDEX(الفصول!$A$2:$B$13,MATCH(أرقام!N26,الفصول!$A$2:$A$13,0),2))</f>
        <v/>
      </c>
      <c r="P26" s="29" t="str">
        <f>IF(أرقام!O26="","",INDEX(الفصول!$A$2:$B$13,MATCH(أرقام!O26,الفصول!$A$2:$A$13,0),2))</f>
        <v/>
      </c>
      <c r="Q26" s="29" t="str">
        <f>IF(أرقام!P26="","",INDEX(الفصول!$A$2:$B$13,MATCH(أرقام!P26,الفصول!$A$2:$A$13,0),2))</f>
        <v>1 ث ب</v>
      </c>
      <c r="R26" s="29" t="str">
        <f>IF(أرقام!Q26="","",INDEX(الفصول!$A$2:$B$13,MATCH(أرقام!Q26,الفصول!$A$2:$A$13,0),2))</f>
        <v>1 ث أ</v>
      </c>
      <c r="S26" s="29" t="str">
        <f>IF(أرقام!R26="","",INDEX(الفصول!$A$2:$B$13,MATCH(أرقام!R26,الفصول!$A$2:$A$13,0),2))</f>
        <v/>
      </c>
      <c r="T26" s="29" t="str">
        <f>IF(أرقام!S26="","",INDEX(الفصول!$A$2:$B$13,MATCH(أرقام!S26,الفصول!$A$2:$A$13,0),2))</f>
        <v/>
      </c>
      <c r="U26" s="29" t="str">
        <f>IF(أرقام!T26="","",INDEX(الفصول!$A$2:$B$13,MATCH(أرقام!T26,الفصول!$A$2:$A$13,0),2))</f>
        <v>2 ث أ</v>
      </c>
      <c r="V26" s="29" t="str">
        <f>IF(أرقام!U26="","",INDEX(الفصول!$A$2:$B$13,MATCH(أرقام!U26,الفصول!$A$2:$A$13,0),2))</f>
        <v/>
      </c>
      <c r="W26" s="29" t="str">
        <f>IF(أرقام!V26="","",INDEX(الفصول!$A$2:$B$13,MATCH(أرقام!V26,الفصول!$A$2:$A$13,0),2))</f>
        <v>2 ث ب</v>
      </c>
      <c r="X26" s="29" t="str">
        <f>IF(أرقام!W26="","",INDEX(الفصول!$A$2:$B$13,MATCH(أرقام!W26,الفصول!$A$2:$A$13,0),2))</f>
        <v/>
      </c>
      <c r="Y26" s="29" t="str">
        <f>IF(أرقام!X26="","",INDEX(الفصول!$A$2:$B$13,MATCH(أرقام!X26,الفصول!$A$2:$A$13,0),2))</f>
        <v>2 ث أ</v>
      </c>
      <c r="Z26" s="29" t="str">
        <f>IF(أرقام!Y26="","",INDEX(الفصول!$A$2:$B$13,MATCH(أرقام!Y26,الفصول!$A$2:$A$13,0),2))</f>
        <v>1 ث أ</v>
      </c>
      <c r="AA26" s="29" t="str">
        <f>IF(أرقام!Z26="","",INDEX(الفصول!$A$2:$B$13,MATCH(أرقام!Z26,الفصول!$A$2:$A$13,0),2))</f>
        <v>2 ث ب</v>
      </c>
      <c r="AB26" s="29" t="str">
        <f>IF(أرقام!AA26="","",INDEX(الفصول!$A$2:$B$13,MATCH(أرقام!AA26,الفصول!$A$2:$A$13,0),2))</f>
        <v/>
      </c>
      <c r="AC26" s="29" t="str">
        <f>IF(أرقام!AB26="","",INDEX(الفصول!$A$2:$B$13,MATCH(أرقام!AB26,الفصول!$A$2:$A$13,0),2))</f>
        <v/>
      </c>
      <c r="AD26" s="29" t="str">
        <f>IF(أرقام!AC26="","",INDEX(الفصول!$A$2:$B$13,MATCH(أرقام!AC26,الفصول!$A$2:$A$13,0),2))</f>
        <v/>
      </c>
      <c r="AE26" s="29" t="str">
        <f>IF(أرقام!AD26="","",INDEX(الفصول!$A$2:$B$13,MATCH(أرقام!AD26,الفصول!$A$2:$A$13,0),2))</f>
        <v/>
      </c>
      <c r="AF26" s="29" t="str">
        <f>IF(أرقام!AE26="","",INDEX(الفصول!$A$2:$B$13,MATCH(أرقام!AE26,الفصول!$A$2:$A$13,0),2))</f>
        <v/>
      </c>
      <c r="AG26" s="29" t="str">
        <f>IF(أرقام!AF26="","",INDEX(الفصول!$A$2:$B$13,MATCH(أرقام!AF26,الفصول!$A$2:$A$13,0),2))</f>
        <v/>
      </c>
      <c r="AH26" s="29" t="str">
        <f>IF(أرقام!AG26="","",INDEX(الفصول!$A$2:$B$13,MATCH(أرقام!AG26,الفصول!$A$2:$A$13,0),2))</f>
        <v>2 ث ب</v>
      </c>
      <c r="AI26" s="29" t="str">
        <f>IF(أرقام!AH26="","",INDEX(الفصول!$A$2:$B$13,MATCH(أرقام!AH26,الفصول!$A$2:$A$13,0),2))</f>
        <v>1 ث ب</v>
      </c>
      <c r="AJ26" s="29" t="str">
        <f>IF(أرقام!AI26="","",INDEX(الفصول!$A$2:$B$13,MATCH(أرقام!AI26,الفصول!$A$2:$A$13,0),2))</f>
        <v/>
      </c>
      <c r="AK26" s="29" t="str">
        <f>IF(أرقام!AJ26="","",INDEX(الفصول!$A$2:$B$13,MATCH(أرقام!AJ26,الفصول!$A$2:$A$13,0),2))</f>
        <v>2 ث أ</v>
      </c>
      <c r="AL26" s="29" t="str">
        <f>IF(أرقام!AK26="","",INDEX(الفصول!$A$2:$B$13,MATCH(أرقام!AK26,الفصول!$A$2:$A$13,0),2))</f>
        <v/>
      </c>
    </row>
    <row r="27" spans="2:38" ht="14.65" thickBot="1" x14ac:dyDescent="0.5">
      <c r="B27" s="29">
        <f t="shared" si="0"/>
        <v>24</v>
      </c>
      <c r="C27" s="30" t="str">
        <f>أرقام!A27</f>
        <v>حسين العمري</v>
      </c>
      <c r="D27" s="29" t="str">
        <f>IF(أرقام!C27="","",INDEX(الفصول!$A$2:$B$13,MATCH(أرقام!C27,الفصول!$A$2:$A$13,0),2))</f>
        <v/>
      </c>
      <c r="E27" s="29" t="str">
        <f>IF(أرقام!D27="","",INDEX(الفصول!$A$2:$B$13,MATCH(أرقام!D27,الفصول!$A$2:$A$13,0),2))</f>
        <v>3 ث أ</v>
      </c>
      <c r="F27" s="29" t="str">
        <f>IF(أرقام!E27="","",INDEX(الفصول!$A$2:$B$13,MATCH(أرقام!E27,الفصول!$A$2:$A$13,0),2))</f>
        <v/>
      </c>
      <c r="G27" s="29" t="str">
        <f>IF(أرقام!F27="","",INDEX(الفصول!$A$2:$B$13,MATCH(أرقام!F27,الفصول!$A$2:$A$13,0),2))</f>
        <v xml:space="preserve">1 م </v>
      </c>
      <c r="H27" s="29" t="str">
        <f>IF(أرقام!G27="","",INDEX(الفصول!$A$2:$B$13,MATCH(أرقام!G27,الفصول!$A$2:$A$13,0),2))</f>
        <v xml:space="preserve">1 م </v>
      </c>
      <c r="I27" s="29" t="str">
        <f>IF(أرقام!H27="","",INDEX(الفصول!$A$2:$B$13,MATCH(أرقام!H27,الفصول!$A$2:$A$13,0),2))</f>
        <v>3 ث ب</v>
      </c>
      <c r="J27" s="29" t="str">
        <f>IF(أرقام!I27="","",INDEX(الفصول!$A$2:$B$13,MATCH(أرقام!I27,الفصول!$A$2:$A$13,0),2))</f>
        <v/>
      </c>
      <c r="K27" s="29" t="str">
        <f>IF(أرقام!J27="","",INDEX(الفصول!$A$2:$B$13,MATCH(أرقام!J27,الفصول!$A$2:$A$13,0),2))</f>
        <v/>
      </c>
      <c r="L27" s="29" t="str">
        <f>IF(أرقام!K27="","",INDEX(الفصول!$A$2:$B$13,MATCH(أرقام!K27,الفصول!$A$2:$A$13,0),2))</f>
        <v xml:space="preserve">1 م </v>
      </c>
      <c r="M27" s="29" t="str">
        <f>IF(أرقام!L27="","",INDEX(الفصول!$A$2:$B$13,MATCH(أرقام!L27,الفصول!$A$2:$A$13,0),2))</f>
        <v/>
      </c>
      <c r="N27" s="29" t="str">
        <f>IF(أرقام!M27="","",INDEX(الفصول!$A$2:$B$13,MATCH(أرقام!M27,الفصول!$A$2:$A$13,0),2))</f>
        <v>3 ث ب</v>
      </c>
      <c r="O27" s="29" t="str">
        <f>IF(أرقام!N27="","",INDEX(الفصول!$A$2:$B$13,MATCH(أرقام!N27,الفصول!$A$2:$A$13,0),2))</f>
        <v>3 ث ب</v>
      </c>
      <c r="P27" s="29" t="str">
        <f>IF(أرقام!O27="","",INDEX(الفصول!$A$2:$B$13,MATCH(أرقام!O27,الفصول!$A$2:$A$13,0),2))</f>
        <v>3 ث أ</v>
      </c>
      <c r="Q27" s="29" t="str">
        <f>IF(أرقام!P27="","",INDEX(الفصول!$A$2:$B$13,MATCH(أرقام!P27,الفصول!$A$2:$A$13,0),2))</f>
        <v/>
      </c>
      <c r="R27" s="29" t="str">
        <f>IF(أرقام!Q27="","",INDEX(الفصول!$A$2:$B$13,MATCH(أرقام!Q27,الفصول!$A$2:$A$13,0),2))</f>
        <v/>
      </c>
      <c r="S27" s="29" t="str">
        <f>IF(أرقام!R27="","",INDEX(الفصول!$A$2:$B$13,MATCH(أرقام!R27,الفصول!$A$2:$A$13,0),2))</f>
        <v/>
      </c>
      <c r="T27" s="29" t="str">
        <f>IF(أرقام!S27="","",INDEX(الفصول!$A$2:$B$13,MATCH(أرقام!S27,الفصول!$A$2:$A$13,0),2))</f>
        <v>3 ث أ</v>
      </c>
      <c r="U27" s="29" t="str">
        <f>IF(أرقام!T27="","",INDEX(الفصول!$A$2:$B$13,MATCH(أرقام!T27,الفصول!$A$2:$A$13,0),2))</f>
        <v>3 ث ب</v>
      </c>
      <c r="V27" s="29" t="str">
        <f>IF(أرقام!U27="","",INDEX(الفصول!$A$2:$B$13,MATCH(أرقام!U27,الفصول!$A$2:$A$13,0),2))</f>
        <v/>
      </c>
      <c r="W27" s="29" t="str">
        <f>IF(أرقام!V27="","",INDEX(الفصول!$A$2:$B$13,MATCH(أرقام!V27,الفصول!$A$2:$A$13,0),2))</f>
        <v xml:space="preserve">1 م </v>
      </c>
      <c r="X27" s="29" t="str">
        <f>IF(أرقام!W27="","",INDEX(الفصول!$A$2:$B$13,MATCH(أرقام!W27,الفصول!$A$2:$A$13,0),2))</f>
        <v/>
      </c>
      <c r="Y27" s="29" t="str">
        <f>IF(أرقام!X27="","",INDEX(الفصول!$A$2:$B$13,MATCH(أرقام!X27,الفصول!$A$2:$A$13,0),2))</f>
        <v>3 ث أ</v>
      </c>
      <c r="Z27" s="29" t="str">
        <f>IF(أرقام!Y27="","",INDEX(الفصول!$A$2:$B$13,MATCH(أرقام!Y27,الفصول!$A$2:$A$13,0),2))</f>
        <v/>
      </c>
      <c r="AA27" s="29" t="str">
        <f>IF(أرقام!Z27="","",INDEX(الفصول!$A$2:$B$13,MATCH(أرقام!Z27,الفصول!$A$2:$A$13,0),2))</f>
        <v/>
      </c>
      <c r="AB27" s="29" t="str">
        <f>IF(أرقام!AA27="","",INDEX(الفصول!$A$2:$B$13,MATCH(أرقام!AA27,الفصول!$A$2:$A$13,0),2))</f>
        <v/>
      </c>
      <c r="AC27" s="29" t="str">
        <f>IF(أرقام!AB27="","",INDEX(الفصول!$A$2:$B$13,MATCH(أرقام!AB27,الفصول!$A$2:$A$13,0),2))</f>
        <v/>
      </c>
      <c r="AD27" s="29" t="str">
        <f>IF(أرقام!AC27="","",INDEX(الفصول!$A$2:$B$13,MATCH(أرقام!AC27,الفصول!$A$2:$A$13,0),2))</f>
        <v/>
      </c>
      <c r="AE27" s="29" t="str">
        <f>IF(أرقام!AD27="","",INDEX(الفصول!$A$2:$B$13,MATCH(أرقام!AD27,الفصول!$A$2:$A$13,0),2))</f>
        <v/>
      </c>
      <c r="AF27" s="29" t="str">
        <f>IF(أرقام!AE27="","",INDEX(الفصول!$A$2:$B$13,MATCH(أرقام!AE27,الفصول!$A$2:$A$13,0),2))</f>
        <v>3 ث أ</v>
      </c>
      <c r="AG27" s="29" t="str">
        <f>IF(أرقام!AF27="","",INDEX(الفصول!$A$2:$B$13,MATCH(أرقام!AF27,الفصول!$A$2:$A$13,0),2))</f>
        <v>3 ث ب</v>
      </c>
      <c r="AH27" s="29" t="str">
        <f>IF(أرقام!AG27="","",INDEX(الفصول!$A$2:$B$13,MATCH(أرقام!AG27,الفصول!$A$2:$A$13,0),2))</f>
        <v/>
      </c>
      <c r="AI27" s="29" t="str">
        <f>IF(أرقام!AH27="","",INDEX(الفصول!$A$2:$B$13,MATCH(أرقام!AH27,الفصول!$A$2:$A$13,0),2))</f>
        <v/>
      </c>
      <c r="AJ27" s="29" t="str">
        <f>IF(أرقام!AI27="","",INDEX(الفصول!$A$2:$B$13,MATCH(أرقام!AI27,الفصول!$A$2:$A$13,0),2))</f>
        <v/>
      </c>
      <c r="AK27" s="29" t="str">
        <f>IF(أرقام!AJ27="","",INDEX(الفصول!$A$2:$B$13,MATCH(أرقام!AJ27,الفصول!$A$2:$A$13,0),2))</f>
        <v/>
      </c>
      <c r="AL27" s="29" t="str">
        <f>IF(أرقام!AK27="","",INDEX(الفصول!$A$2:$B$13,MATCH(أرقام!AK27,الفصول!$A$2:$A$13,0),2))</f>
        <v/>
      </c>
    </row>
    <row r="28" spans="2:38" ht="14.65" thickBot="1" x14ac:dyDescent="0.5">
      <c r="B28" s="29">
        <f t="shared" si="0"/>
        <v>25</v>
      </c>
      <c r="C28" s="30" t="str">
        <f>أرقام!A28</f>
        <v>حسن جبار</v>
      </c>
      <c r="D28" s="29" t="str">
        <f>IF(أرقام!C28="","",INDEX(الفصول!$A$2:$B$13,MATCH(أرقام!C28,الفصول!$A$2:$A$13,0),2))</f>
        <v/>
      </c>
      <c r="E28" s="29" t="str">
        <f>IF(أرقام!D28="","",INDEX(الفصول!$A$2:$B$13,MATCH(أرقام!D28,الفصول!$A$2:$A$13,0),2))</f>
        <v/>
      </c>
      <c r="F28" s="29" t="str">
        <f>IF(أرقام!E28="","",INDEX(الفصول!$A$2:$B$13,MATCH(أرقام!E28,الفصول!$A$2:$A$13,0),2))</f>
        <v>2 م أ</v>
      </c>
      <c r="G28" s="29" t="str">
        <f>IF(أرقام!F28="","",INDEX(الفصول!$A$2:$B$13,MATCH(أرقام!F28,الفصول!$A$2:$A$13,0),2))</f>
        <v>2 ث أ</v>
      </c>
      <c r="H28" s="29" t="str">
        <f>IF(أرقام!G28="","",INDEX(الفصول!$A$2:$B$13,MATCH(أرقام!G28,الفصول!$A$2:$A$13,0),2))</f>
        <v>2 م ب</v>
      </c>
      <c r="I28" s="29" t="str">
        <f>IF(أرقام!H28="","",INDEX(الفصول!$A$2:$B$13,MATCH(أرقام!H28,الفصول!$A$2:$A$13,0),2))</f>
        <v>2 ث ب</v>
      </c>
      <c r="J28" s="29" t="str">
        <f>IF(أرقام!I28="","",INDEX(الفصول!$A$2:$B$13,MATCH(أرقام!I28,الفصول!$A$2:$A$13,0),2))</f>
        <v>2 م أ</v>
      </c>
      <c r="K28" s="29" t="str">
        <f>IF(أرقام!J28="","",INDEX(الفصول!$A$2:$B$13,MATCH(أرقام!J28,الفصول!$A$2:$A$13,0),2))</f>
        <v>2 ث ب</v>
      </c>
      <c r="L28" s="29" t="str">
        <f>IF(أرقام!K28="","",INDEX(الفصول!$A$2:$B$13,MATCH(أرقام!K28,الفصول!$A$2:$A$13,0),2))</f>
        <v>2 ث أ</v>
      </c>
      <c r="M28" s="29" t="str">
        <f>IF(أرقام!L28="","",INDEX(الفصول!$A$2:$B$13,MATCH(أرقام!L28,الفصول!$A$2:$A$13,0),2))</f>
        <v/>
      </c>
      <c r="N28" s="29" t="str">
        <f>IF(أرقام!M28="","",INDEX(الفصول!$A$2:$B$13,MATCH(أرقام!M28,الفصول!$A$2:$A$13,0),2))</f>
        <v/>
      </c>
      <c r="O28" s="29" t="str">
        <f>IF(أرقام!N28="","",INDEX(الفصول!$A$2:$B$13,MATCH(أرقام!N28,الفصول!$A$2:$A$13,0),2))</f>
        <v/>
      </c>
      <c r="P28" s="29" t="str">
        <f>IF(أرقام!O28="","",INDEX(الفصول!$A$2:$B$13,MATCH(أرقام!O28,الفصول!$A$2:$A$13,0),2))</f>
        <v/>
      </c>
      <c r="Q28" s="29" t="str">
        <f>IF(أرقام!P28="","",INDEX(الفصول!$A$2:$B$13,MATCH(أرقام!P28,الفصول!$A$2:$A$13,0),2))</f>
        <v/>
      </c>
      <c r="R28" s="29" t="str">
        <f>IF(أرقام!Q28="","",INDEX(الفصول!$A$2:$B$13,MATCH(أرقام!Q28,الفصول!$A$2:$A$13,0),2))</f>
        <v/>
      </c>
      <c r="S28" s="29" t="str">
        <f>IF(أرقام!R28="","",INDEX(الفصول!$A$2:$B$13,MATCH(أرقام!R28,الفصول!$A$2:$A$13,0),2))</f>
        <v>2 ث ب</v>
      </c>
      <c r="T28" s="29" t="str">
        <f>IF(أرقام!S28="","",INDEX(الفصول!$A$2:$B$13,MATCH(أرقام!S28,الفصول!$A$2:$A$13,0),2))</f>
        <v>2 ث أ</v>
      </c>
      <c r="U28" s="29" t="str">
        <f>IF(أرقام!T28="","",INDEX(الفصول!$A$2:$B$13,MATCH(أرقام!T28,الفصول!$A$2:$A$13,0),2))</f>
        <v>2 م أ</v>
      </c>
      <c r="V28" s="29" t="str">
        <f>IF(أرقام!U28="","",INDEX(الفصول!$A$2:$B$13,MATCH(أرقام!U28,الفصول!$A$2:$A$13,0),2))</f>
        <v>2 م ب</v>
      </c>
      <c r="W28" s="29" t="str">
        <f>IF(أرقام!V28="","",INDEX(الفصول!$A$2:$B$13,MATCH(أرقام!V28,الفصول!$A$2:$A$13,0),2))</f>
        <v>2 م ب</v>
      </c>
      <c r="X28" s="29" t="str">
        <f>IF(أرقام!W28="","",INDEX(الفصول!$A$2:$B$13,MATCH(أرقام!W28,الفصول!$A$2:$A$13,0),2))</f>
        <v/>
      </c>
      <c r="Y28" s="29" t="str">
        <f>IF(أرقام!X28="","",INDEX(الفصول!$A$2:$B$13,MATCH(أرقام!X28,الفصول!$A$2:$A$13,0),2))</f>
        <v/>
      </c>
      <c r="Z28" s="29" t="str">
        <f>IF(أرقام!Y28="","",INDEX(الفصول!$A$2:$B$13,MATCH(أرقام!Y28,الفصول!$A$2:$A$13,0),2))</f>
        <v>2 م ب</v>
      </c>
      <c r="AA28" s="29" t="str">
        <f>IF(أرقام!Z28="","",INDEX(الفصول!$A$2:$B$13,MATCH(أرقام!Z28,الفصول!$A$2:$A$13,0),2))</f>
        <v>2 م أ</v>
      </c>
      <c r="AB28" s="29" t="str">
        <f>IF(أرقام!AA28="","",INDEX(الفصول!$A$2:$B$13,MATCH(أرقام!AA28,الفصول!$A$2:$A$13,0),2))</f>
        <v>2 ث أ</v>
      </c>
      <c r="AC28" s="29" t="str">
        <f>IF(أرقام!AB28="","",INDEX(الفصول!$A$2:$B$13,MATCH(أرقام!AB28,الفصول!$A$2:$A$13,0),2))</f>
        <v>2 ث ب</v>
      </c>
      <c r="AD28" s="29" t="str">
        <f>IF(أرقام!AC28="","",INDEX(الفصول!$A$2:$B$13,MATCH(أرقام!AC28,الفصول!$A$2:$A$13,0),2))</f>
        <v/>
      </c>
      <c r="AE28" s="29" t="str">
        <f>IF(أرقام!AD28="","",INDEX(الفصول!$A$2:$B$13,MATCH(أرقام!AD28,الفصول!$A$2:$A$13,0),2))</f>
        <v/>
      </c>
      <c r="AF28" s="29" t="str">
        <f>IF(أرقام!AE28="","",INDEX(الفصول!$A$2:$B$13,MATCH(أرقام!AE28,الفصول!$A$2:$A$13,0),2))</f>
        <v>2 ث أ</v>
      </c>
      <c r="AG28" s="29" t="str">
        <f>IF(أرقام!AF28="","",INDEX(الفصول!$A$2:$B$13,MATCH(أرقام!AF28,الفصول!$A$2:$A$13,0),2))</f>
        <v>2 ث ب</v>
      </c>
      <c r="AH28" s="29" t="str">
        <f>IF(أرقام!AG28="","",INDEX(الفصول!$A$2:$B$13,MATCH(أرقام!AG28,الفصول!$A$2:$A$13,0),2))</f>
        <v/>
      </c>
      <c r="AI28" s="29" t="str">
        <f>IF(أرقام!AH28="","",INDEX(الفصول!$A$2:$B$13,MATCH(أرقام!AH28,الفصول!$A$2:$A$13,0),2))</f>
        <v/>
      </c>
      <c r="AJ28" s="29" t="str">
        <f>IF(أرقام!AI28="","",INDEX(الفصول!$A$2:$B$13,MATCH(أرقام!AI28,الفصول!$A$2:$A$13,0),2))</f>
        <v/>
      </c>
      <c r="AK28" s="29" t="str">
        <f>IF(أرقام!AJ28="","",INDEX(الفصول!$A$2:$B$13,MATCH(أرقام!AJ28,الفصول!$A$2:$A$13,0),2))</f>
        <v/>
      </c>
      <c r="AL28" s="29" t="str">
        <f>IF(أرقام!AK28="","",INDEX(الفصول!$A$2:$B$13,MATCH(أرقام!AK28,الفصول!$A$2:$A$13,0),2))</f>
        <v/>
      </c>
    </row>
    <row r="29" spans="2:38" ht="14.65" thickBot="1" x14ac:dyDescent="0.5">
      <c r="B29" s="29">
        <f t="shared" si="0"/>
        <v>26</v>
      </c>
      <c r="C29" s="30" t="str">
        <f>أرقام!A29</f>
        <v>موسى</v>
      </c>
      <c r="D29" s="29" t="str">
        <f>IF(أرقام!C29="","",INDEX(الفصول!$A$2:$B$13,MATCH(أرقام!C29,الفصول!$A$2:$A$13,0),2))</f>
        <v>2 ث أ</v>
      </c>
      <c r="E29" s="29" t="str">
        <f>IF(أرقام!D29="","",INDEX(الفصول!$A$2:$B$13,MATCH(أرقام!D29,الفصول!$A$2:$A$13,0),2))</f>
        <v/>
      </c>
      <c r="F29" s="29" t="str">
        <f>IF(أرقام!E29="","",INDEX(الفصول!$A$2:$B$13,MATCH(أرقام!E29,الفصول!$A$2:$A$13,0),2))</f>
        <v>2 ث ب</v>
      </c>
      <c r="G29" s="29" t="str">
        <f>IF(أرقام!F29="","",INDEX(الفصول!$A$2:$B$13,MATCH(أرقام!F29,الفصول!$A$2:$A$13,0),2))</f>
        <v/>
      </c>
      <c r="H29" s="29" t="str">
        <f>IF(أرقام!G29="","",INDEX(الفصول!$A$2:$B$13,MATCH(أرقام!G29,الفصول!$A$2:$A$13,0),2))</f>
        <v/>
      </c>
      <c r="I29" s="29" t="str">
        <f>IF(أرقام!H29="","",INDEX(الفصول!$A$2:$B$13,MATCH(أرقام!H29,الفصول!$A$2:$A$13,0),2))</f>
        <v/>
      </c>
      <c r="J29" s="29" t="str">
        <f>IF(أرقام!I29="","",INDEX(الفصول!$A$2:$B$13,MATCH(أرقام!I29,الفصول!$A$2:$A$13,0),2))</f>
        <v/>
      </c>
      <c r="K29" s="29" t="str">
        <f>IF(أرقام!J29="","",INDEX(الفصول!$A$2:$B$13,MATCH(أرقام!J29,الفصول!$A$2:$A$13,0),2))</f>
        <v>2 ث أ</v>
      </c>
      <c r="L29" s="29" t="str">
        <f>IF(أرقام!K29="","",INDEX(الفصول!$A$2:$B$13,MATCH(أرقام!K29,الفصول!$A$2:$A$13,0),2))</f>
        <v>2 ث ب</v>
      </c>
      <c r="M29" s="29" t="str">
        <f>IF(أرقام!L29="","",INDEX(الفصول!$A$2:$B$13,MATCH(أرقام!L29,الفصول!$A$2:$A$13,0),2))</f>
        <v>3 م ب</v>
      </c>
      <c r="N29" s="29" t="str">
        <f>IF(أرقام!M29="","",INDEX(الفصول!$A$2:$B$13,MATCH(أرقام!M29,الفصول!$A$2:$A$13,0),2))</f>
        <v>3 م أ</v>
      </c>
      <c r="O29" s="29" t="str">
        <f>IF(أرقام!N29="","",INDEX(الفصول!$A$2:$B$13,MATCH(أرقام!N29,الفصول!$A$2:$A$13,0),2))</f>
        <v/>
      </c>
      <c r="P29" s="29" t="str">
        <f>IF(أرقام!O29="","",INDEX(الفصول!$A$2:$B$13,MATCH(أرقام!O29,الفصول!$A$2:$A$13,0),2))</f>
        <v/>
      </c>
      <c r="Q29" s="29" t="str">
        <f>IF(أرقام!P29="","",INDEX(الفصول!$A$2:$B$13,MATCH(أرقام!P29,الفصول!$A$2:$A$13,0),2))</f>
        <v>3 م ب</v>
      </c>
      <c r="R29" s="29" t="str">
        <f>IF(أرقام!Q29="","",INDEX(الفصول!$A$2:$B$13,MATCH(أرقام!Q29,الفصول!$A$2:$A$13,0),2))</f>
        <v/>
      </c>
      <c r="S29" s="29" t="str">
        <f>IF(أرقام!R29="","",INDEX(الفصول!$A$2:$B$13,MATCH(أرقام!R29,الفصول!$A$2:$A$13,0),2))</f>
        <v/>
      </c>
      <c r="T29" s="29" t="str">
        <f>IF(أرقام!S29="","",INDEX(الفصول!$A$2:$B$13,MATCH(أرقام!S29,الفصول!$A$2:$A$13,0),2))</f>
        <v/>
      </c>
      <c r="U29" s="29" t="str">
        <f>IF(أرقام!T29="","",INDEX(الفصول!$A$2:$B$13,MATCH(أرقام!T29,الفصول!$A$2:$A$13,0),2))</f>
        <v>3 م ب</v>
      </c>
      <c r="V29" s="29" t="str">
        <f>IF(أرقام!U29="","",INDEX(الفصول!$A$2:$B$13,MATCH(أرقام!U29,الفصول!$A$2:$A$13,0),2))</f>
        <v>3 م أ</v>
      </c>
      <c r="W29" s="29" t="str">
        <f>IF(أرقام!V29="","",INDEX(الفصول!$A$2:$B$13,MATCH(أرقام!V29,الفصول!$A$2:$A$13,0),2))</f>
        <v/>
      </c>
      <c r="X29" s="29" t="str">
        <f>IF(أرقام!W29="","",INDEX(الفصول!$A$2:$B$13,MATCH(أرقام!W29,الفصول!$A$2:$A$13,0),2))</f>
        <v/>
      </c>
      <c r="Y29" s="29" t="str">
        <f>IF(أرقام!X29="","",INDEX(الفصول!$A$2:$B$13,MATCH(أرقام!X29,الفصول!$A$2:$A$13,0),2))</f>
        <v/>
      </c>
      <c r="Z29" s="29" t="str">
        <f>IF(أرقام!Y29="","",INDEX(الفصول!$A$2:$B$13,MATCH(أرقام!Y29,الفصول!$A$2:$A$13,0),2))</f>
        <v/>
      </c>
      <c r="AA29" s="29" t="str">
        <f>IF(أرقام!Z29="","",INDEX(الفصول!$A$2:$B$13,MATCH(أرقام!Z29,الفصول!$A$2:$A$13,0),2))</f>
        <v>3 م ب</v>
      </c>
      <c r="AB29" s="29" t="str">
        <f>IF(أرقام!AA29="","",INDEX(الفصول!$A$2:$B$13,MATCH(أرقام!AA29,الفصول!$A$2:$A$13,0),2))</f>
        <v/>
      </c>
      <c r="AC29" s="29" t="str">
        <f>IF(أرقام!AB29="","",INDEX(الفصول!$A$2:$B$13,MATCH(أرقام!AB29,الفصول!$A$2:$A$13,0),2))</f>
        <v/>
      </c>
      <c r="AD29" s="29" t="str">
        <f>IF(أرقام!AC29="","",INDEX(الفصول!$A$2:$B$13,MATCH(أرقام!AC29,الفصول!$A$2:$A$13,0),2))</f>
        <v/>
      </c>
      <c r="AE29" s="29" t="str">
        <f>IF(أرقام!AD29="","",INDEX(الفصول!$A$2:$B$13,MATCH(أرقام!AD29,الفصول!$A$2:$A$13,0),2))</f>
        <v>3 م أ</v>
      </c>
      <c r="AF29" s="29" t="str">
        <f>IF(أرقام!AE29="","",INDEX(الفصول!$A$2:$B$13,MATCH(أرقام!AE29,الفصول!$A$2:$A$13,0),2))</f>
        <v/>
      </c>
      <c r="AG29" s="29" t="str">
        <f>IF(أرقام!AF29="","",INDEX(الفصول!$A$2:$B$13,MATCH(أرقام!AF29,الفصول!$A$2:$A$13,0),2))</f>
        <v>3 م أ</v>
      </c>
      <c r="AH29" s="29" t="str">
        <f>IF(أرقام!AG29="","",INDEX(الفصول!$A$2:$B$13,MATCH(أرقام!AG29,الفصول!$A$2:$A$13,0),2))</f>
        <v/>
      </c>
      <c r="AI29" s="29" t="str">
        <f>IF(أرقام!AH29="","",INDEX(الفصول!$A$2:$B$13,MATCH(أرقام!AH29,الفصول!$A$2:$A$13,0),2))</f>
        <v/>
      </c>
      <c r="AJ29" s="29" t="str">
        <f>IF(أرقام!AI29="","",INDEX(الفصول!$A$2:$B$13,MATCH(أرقام!AI29,الفصول!$A$2:$A$13,0),2))</f>
        <v/>
      </c>
      <c r="AK29" s="29" t="str">
        <f>IF(أرقام!AJ29="","",INDEX(الفصول!$A$2:$B$13,MATCH(أرقام!AJ29,الفصول!$A$2:$A$13,0),2))</f>
        <v/>
      </c>
      <c r="AL29" s="29" t="str">
        <f>IF(أرقام!AK29="","",INDEX(الفصول!$A$2:$B$13,MATCH(أرقام!AK29,الفصول!$A$2:$A$13,0),2))</f>
        <v/>
      </c>
    </row>
    <row r="30" spans="2:38" ht="14.65" thickBot="1" x14ac:dyDescent="0.5">
      <c r="B30" s="29">
        <f t="shared" si="0"/>
        <v>27</v>
      </c>
      <c r="C30" s="30" t="str">
        <f>أرقام!A30</f>
        <v>مهدي</v>
      </c>
      <c r="D30" s="29" t="str">
        <f>IF(أرقام!C30="","",INDEX(الفصول!$A$2:$B$13,MATCH(أرقام!C30,الفصول!$A$2:$A$13,0),2))</f>
        <v>3 م أ</v>
      </c>
      <c r="E30" s="29" t="str">
        <f>IF(أرقام!D30="","",INDEX(الفصول!$A$2:$B$13,MATCH(أرقام!D30,الفصول!$A$2:$A$13,0),2))</f>
        <v>3 م ب</v>
      </c>
      <c r="F30" s="29" t="str">
        <f>IF(أرقام!E30="","",INDEX(الفصول!$A$2:$B$13,MATCH(أرقام!E30,الفصول!$A$2:$A$13,0),2))</f>
        <v>2 ث أ</v>
      </c>
      <c r="G30" s="29" t="str">
        <f>IF(أرقام!F30="","",INDEX(الفصول!$A$2:$B$13,MATCH(أرقام!F30,الفصول!$A$2:$A$13,0),2))</f>
        <v>2 ث ب</v>
      </c>
      <c r="H30" s="29" t="str">
        <f>IF(أرقام!G30="","",INDEX(الفصول!$A$2:$B$13,MATCH(أرقام!G30,الفصول!$A$2:$A$13,0),2))</f>
        <v/>
      </c>
      <c r="I30" s="29" t="str">
        <f>IF(أرقام!H30="","",INDEX(الفصول!$A$2:$B$13,MATCH(أرقام!H30,الفصول!$A$2:$A$13,0),2))</f>
        <v/>
      </c>
      <c r="J30" s="29" t="str">
        <f>IF(أرقام!I30="","",INDEX(الفصول!$A$2:$B$13,MATCH(أرقام!I30,الفصول!$A$2:$A$13,0),2))</f>
        <v/>
      </c>
      <c r="K30" s="29" t="str">
        <f>IF(أرقام!J30="","",INDEX(الفصول!$A$2:$B$13,MATCH(أرقام!J30,الفصول!$A$2:$A$13,0),2))</f>
        <v/>
      </c>
      <c r="L30" s="29" t="str">
        <f>IF(أرقام!K30="","",INDEX(الفصول!$A$2:$B$13,MATCH(أرقام!K30,الفصول!$A$2:$A$13,0),2))</f>
        <v/>
      </c>
      <c r="M30" s="29" t="str">
        <f>IF(أرقام!L30="","",INDEX(الفصول!$A$2:$B$13,MATCH(أرقام!L30,الفصول!$A$2:$A$13,0),2))</f>
        <v/>
      </c>
      <c r="N30" s="29" t="str">
        <f>IF(أرقام!M30="","",INDEX(الفصول!$A$2:$B$13,MATCH(أرقام!M30,الفصول!$A$2:$A$13,0),2))</f>
        <v>2 ث ب</v>
      </c>
      <c r="O30" s="29" t="str">
        <f>IF(أرقام!N30="","",INDEX(الفصول!$A$2:$B$13,MATCH(أرقام!N30,الفصول!$A$2:$A$13,0),2))</f>
        <v>2 ث أ</v>
      </c>
      <c r="P30" s="29" t="str">
        <f>IF(أرقام!O30="","",INDEX(الفصول!$A$2:$B$13,MATCH(أرقام!O30,الفصول!$A$2:$A$13,0),2))</f>
        <v/>
      </c>
      <c r="Q30" s="29" t="str">
        <f>IF(أرقام!P30="","",INDEX(الفصول!$A$2:$B$13,MATCH(أرقام!P30,الفصول!$A$2:$A$13,0),2))</f>
        <v/>
      </c>
      <c r="R30" s="29" t="str">
        <f>IF(أرقام!Q30="","",INDEX(الفصول!$A$2:$B$13,MATCH(أرقام!Q30,الفصول!$A$2:$A$13,0),2))</f>
        <v/>
      </c>
      <c r="S30" s="29" t="str">
        <f>IF(أرقام!R30="","",INDEX(الفصول!$A$2:$B$13,MATCH(أرقام!R30,الفصول!$A$2:$A$13,0),2))</f>
        <v/>
      </c>
      <c r="T30" s="29" t="str">
        <f>IF(أرقام!S30="","",INDEX(الفصول!$A$2:$B$13,MATCH(أرقام!S30,الفصول!$A$2:$A$13,0),2))</f>
        <v/>
      </c>
      <c r="U30" s="29" t="str">
        <f>IF(أرقام!T30="","",INDEX(الفصول!$A$2:$B$13,MATCH(أرقام!T30,الفصول!$A$2:$A$13,0),2))</f>
        <v>2 ث ب</v>
      </c>
      <c r="V30" s="29" t="str">
        <f>IF(أرقام!U30="","",INDEX(الفصول!$A$2:$B$13,MATCH(أرقام!U30,الفصول!$A$2:$A$13,0),2))</f>
        <v>2 ث أ</v>
      </c>
      <c r="W30" s="29" t="str">
        <f>IF(أرقام!V30="","",INDEX(الفصول!$A$2:$B$13,MATCH(أرقام!V30,الفصول!$A$2:$A$13,0),2))</f>
        <v/>
      </c>
      <c r="X30" s="29" t="str">
        <f>IF(أرقام!W30="","",INDEX(الفصول!$A$2:$B$13,MATCH(أرقام!W30,الفصول!$A$2:$A$13,0),2))</f>
        <v/>
      </c>
      <c r="Y30" s="29" t="str">
        <f>IF(أرقام!X30="","",INDEX(الفصول!$A$2:$B$13,MATCH(أرقام!X30,الفصول!$A$2:$A$13,0),2))</f>
        <v/>
      </c>
      <c r="Z30" s="29" t="str">
        <f>IF(أرقام!Y30="","",INDEX(الفصول!$A$2:$B$13,MATCH(أرقام!Y30,الفصول!$A$2:$A$13,0),2))</f>
        <v/>
      </c>
      <c r="AA30" s="29" t="str">
        <f>IF(أرقام!Z30="","",INDEX(الفصول!$A$2:$B$13,MATCH(أرقام!Z30,الفصول!$A$2:$A$13,0),2))</f>
        <v/>
      </c>
      <c r="AB30" s="29" t="str">
        <f>IF(أرقام!AA30="","",INDEX(الفصول!$A$2:$B$13,MATCH(أرقام!AA30,الفصول!$A$2:$A$13,0),2))</f>
        <v/>
      </c>
      <c r="AC30" s="29" t="str">
        <f>IF(أرقام!AB30="","",INDEX(الفصول!$A$2:$B$13,MATCH(أرقام!AB30,الفصول!$A$2:$A$13,0),2))</f>
        <v>3 م أ</v>
      </c>
      <c r="AD30" s="29" t="str">
        <f>IF(أرقام!AC30="","",INDEX(الفصول!$A$2:$B$13,MATCH(أرقام!AC30,الفصول!$A$2:$A$13,0),2))</f>
        <v/>
      </c>
      <c r="AE30" s="29" t="str">
        <f>IF(أرقام!AD30="","",INDEX(الفصول!$A$2:$B$13,MATCH(أرقام!AD30,الفصول!$A$2:$A$13,0),2))</f>
        <v/>
      </c>
      <c r="AF30" s="29" t="str">
        <f>IF(أرقام!AE30="","",INDEX(الفصول!$A$2:$B$13,MATCH(أرقام!AE30,الفصول!$A$2:$A$13,0),2))</f>
        <v/>
      </c>
      <c r="AG30" s="29" t="str">
        <f>IF(أرقام!AF30="","",INDEX(الفصول!$A$2:$B$13,MATCH(أرقام!AF30,الفصول!$A$2:$A$13,0),2))</f>
        <v>3 م ب</v>
      </c>
      <c r="AH30" s="29" t="str">
        <f>IF(أرقام!AG30="","",INDEX(الفصول!$A$2:$B$13,MATCH(أرقام!AG30,الفصول!$A$2:$A$13,0),2))</f>
        <v/>
      </c>
      <c r="AI30" s="29" t="str">
        <f>IF(أرقام!AH30="","",INDEX(الفصول!$A$2:$B$13,MATCH(أرقام!AH30,الفصول!$A$2:$A$13,0),2))</f>
        <v/>
      </c>
      <c r="AJ30" s="29" t="str">
        <f>IF(أرقام!AI30="","",INDEX(الفصول!$A$2:$B$13,MATCH(أرقام!AI30,الفصول!$A$2:$A$13,0),2))</f>
        <v/>
      </c>
      <c r="AK30" s="29" t="str">
        <f>IF(أرقام!AJ30="","",INDEX(الفصول!$A$2:$B$13,MATCH(أرقام!AJ30,الفصول!$A$2:$A$13,0),2))</f>
        <v/>
      </c>
      <c r="AL30" s="29" t="str">
        <f>IF(أرقام!AK30="","",INDEX(الفصول!$A$2:$B$13,MATCH(أرقام!AK30,الفصول!$A$2:$A$13,0),2))</f>
        <v/>
      </c>
    </row>
    <row r="31" spans="2:38" ht="14.65" thickBot="1" x14ac:dyDescent="0.5">
      <c r="B31" s="29">
        <f t="shared" si="0"/>
        <v>28</v>
      </c>
      <c r="C31" s="30" t="str">
        <f>أرقام!A31</f>
        <v>ناصر</v>
      </c>
      <c r="D31" s="29" t="str">
        <f>IF(أرقام!C31="","",INDEX(الفصول!$A$2:$B$13,MATCH(أرقام!C31,الفصول!$A$2:$A$13,0),2))</f>
        <v/>
      </c>
      <c r="E31" s="29" t="str">
        <f>IF(أرقام!D31="","",INDEX(الفصول!$A$2:$B$13,MATCH(أرقام!D31,الفصول!$A$2:$A$13,0),2))</f>
        <v/>
      </c>
      <c r="F31" s="29" t="str">
        <f>IF(أرقام!E31="","",INDEX(الفصول!$A$2:$B$13,MATCH(أرقام!E31,الفصول!$A$2:$A$13,0),2))</f>
        <v>3 م ب</v>
      </c>
      <c r="G31" s="29" t="str">
        <f>IF(أرقام!F31="","",INDEX(الفصول!$A$2:$B$13,MATCH(أرقام!F31,الفصول!$A$2:$A$13,0),2))</f>
        <v>3 م ب</v>
      </c>
      <c r="H31" s="29" t="str">
        <f>IF(أرقام!G31="","",INDEX(الفصول!$A$2:$B$13,MATCH(أرقام!G31,الفصول!$A$2:$A$13,0),2))</f>
        <v>2 ث أ</v>
      </c>
      <c r="I31" s="29" t="str">
        <f>IF(أرقام!H31="","",INDEX(الفصول!$A$2:$B$13,MATCH(أرقام!H31,الفصول!$A$2:$A$13,0),2))</f>
        <v/>
      </c>
      <c r="J31" s="29" t="str">
        <f>IF(أرقام!I31="","",INDEX(الفصول!$A$2:$B$13,MATCH(أرقام!I31,الفصول!$A$2:$A$13,0),2))</f>
        <v>2 ث ب</v>
      </c>
      <c r="K31" s="29" t="str">
        <f>IF(أرقام!J31="","",INDEX(الفصول!$A$2:$B$13,MATCH(أرقام!J31,الفصول!$A$2:$A$13,0),2))</f>
        <v/>
      </c>
      <c r="L31" s="29" t="str">
        <f>IF(أرقام!K31="","",INDEX(الفصول!$A$2:$B$13,MATCH(أرقام!K31,الفصول!$A$2:$A$13,0),2))</f>
        <v>3 م ب</v>
      </c>
      <c r="M31" s="29" t="str">
        <f>IF(أرقام!L31="","",INDEX(الفصول!$A$2:$B$13,MATCH(أرقام!L31,الفصول!$A$2:$A$13,0),2))</f>
        <v/>
      </c>
      <c r="N31" s="29" t="str">
        <f>IF(أرقام!M31="","",INDEX(الفصول!$A$2:$B$13,MATCH(أرقام!M31,الفصول!$A$2:$A$13,0),2))</f>
        <v/>
      </c>
      <c r="O31" s="29" t="str">
        <f>IF(أرقام!N31="","",INDEX(الفصول!$A$2:$B$13,MATCH(أرقام!N31,الفصول!$A$2:$A$13,0),2))</f>
        <v/>
      </c>
      <c r="P31" s="29" t="str">
        <f>IF(أرقام!O31="","",INDEX(الفصول!$A$2:$B$13,MATCH(أرقام!O31,الفصول!$A$2:$A$13,0),2))</f>
        <v>2 ث ب</v>
      </c>
      <c r="Q31" s="29" t="str">
        <f>IF(أرقام!P31="","",INDEX(الفصول!$A$2:$B$13,MATCH(أرقام!P31,الفصول!$A$2:$A$13,0),2))</f>
        <v>2 ث أ</v>
      </c>
      <c r="R31" s="29" t="str">
        <f>IF(أرقام!Q31="","",INDEX(الفصول!$A$2:$B$13,MATCH(أرقام!Q31,الفصول!$A$2:$A$13,0),2))</f>
        <v>2 ث ب</v>
      </c>
      <c r="S31" s="29" t="str">
        <f>IF(أرقام!R31="","",INDEX(الفصول!$A$2:$B$13,MATCH(أرقام!R31,الفصول!$A$2:$A$13,0),2))</f>
        <v>2 ث أ</v>
      </c>
      <c r="T31" s="29" t="str">
        <f>IF(أرقام!S31="","",INDEX(الفصول!$A$2:$B$13,MATCH(أرقام!S31,الفصول!$A$2:$A$13,0),2))</f>
        <v>3 م ب</v>
      </c>
      <c r="U31" s="29" t="str">
        <f>IF(أرقام!T31="","",INDEX(الفصول!$A$2:$B$13,MATCH(أرقام!T31,الفصول!$A$2:$A$13,0),2))</f>
        <v/>
      </c>
      <c r="V31" s="29" t="str">
        <f>IF(أرقام!U31="","",INDEX(الفصول!$A$2:$B$13,MATCH(أرقام!U31,الفصول!$A$2:$A$13,0),2))</f>
        <v/>
      </c>
      <c r="W31" s="29" t="str">
        <f>IF(أرقام!V31="","",INDEX(الفصول!$A$2:$B$13,MATCH(أرقام!V31,الفصول!$A$2:$A$13,0),2))</f>
        <v/>
      </c>
      <c r="X31" s="29" t="str">
        <f>IF(أرقام!W31="","",INDEX(الفصول!$A$2:$B$13,MATCH(أرقام!W31,الفصول!$A$2:$A$13,0),2))</f>
        <v/>
      </c>
      <c r="Y31" s="29" t="str">
        <f>IF(أرقام!X31="","",INDEX(الفصول!$A$2:$B$13,MATCH(أرقام!X31,الفصول!$A$2:$A$13,0),2))</f>
        <v>2 ث ب</v>
      </c>
      <c r="Z31" s="29" t="str">
        <f>IF(أرقام!Y31="","",INDEX(الفصول!$A$2:$B$13,MATCH(أرقام!Y31,الفصول!$A$2:$A$13,0),2))</f>
        <v>2 ث أ</v>
      </c>
      <c r="AA31" s="29" t="str">
        <f>IF(أرقام!Z31="","",INDEX(الفصول!$A$2:$B$13,MATCH(أرقام!Z31,الفصول!$A$2:$A$13,0),2))</f>
        <v/>
      </c>
      <c r="AB31" s="29" t="str">
        <f>IF(أرقام!AA31="","",INDEX(الفصول!$A$2:$B$13,MATCH(أرقام!AA31,الفصول!$A$2:$A$13,0),2))</f>
        <v/>
      </c>
      <c r="AC31" s="29" t="str">
        <f>IF(أرقام!AB31="","",INDEX(الفصول!$A$2:$B$13,MATCH(أرقام!AB31,الفصول!$A$2:$A$13,0),2))</f>
        <v/>
      </c>
      <c r="AD31" s="29" t="str">
        <f>IF(أرقام!AC31="","",INDEX(الفصول!$A$2:$B$13,MATCH(أرقام!AC31,الفصول!$A$2:$A$13,0),2))</f>
        <v/>
      </c>
      <c r="AE31" s="29" t="str">
        <f>IF(أرقام!AD31="","",INDEX(الفصول!$A$2:$B$13,MATCH(أرقام!AD31,الفصول!$A$2:$A$13,0),2))</f>
        <v/>
      </c>
      <c r="AF31" s="29" t="str">
        <f>IF(أرقام!AE31="","",INDEX(الفصول!$A$2:$B$13,MATCH(أرقام!AE31,الفصول!$A$2:$A$13,0),2))</f>
        <v/>
      </c>
      <c r="AG31" s="29" t="str">
        <f>IF(أرقام!AF31="","",INDEX(الفصول!$A$2:$B$13,MATCH(أرقام!AF31,الفصول!$A$2:$A$13,0),2))</f>
        <v/>
      </c>
      <c r="AH31" s="29" t="str">
        <f>IF(أرقام!AG31="","",INDEX(الفصول!$A$2:$B$13,MATCH(أرقام!AG31,الفصول!$A$2:$A$13,0),2))</f>
        <v/>
      </c>
      <c r="AI31" s="29" t="str">
        <f>IF(أرقام!AH31="","",INDEX(الفصول!$A$2:$B$13,MATCH(أرقام!AH31,الفصول!$A$2:$A$13,0),2))</f>
        <v>2 ث أ</v>
      </c>
      <c r="AJ31" s="29" t="str">
        <f>IF(أرقام!AI31="","",INDEX(الفصول!$A$2:$B$13,MATCH(أرقام!AI31,الفصول!$A$2:$A$13,0),2))</f>
        <v>2 ث ب</v>
      </c>
      <c r="AK31" s="29" t="str">
        <f>IF(أرقام!AJ31="","",INDEX(الفصول!$A$2:$B$13,MATCH(أرقام!AJ31,الفصول!$A$2:$A$13,0),2))</f>
        <v>3 م ب</v>
      </c>
      <c r="AL31" s="29" t="str">
        <f>IF(أرقام!AK31="","",INDEX(الفصول!$A$2:$B$13,MATCH(أرقام!AK31,الفصول!$A$2:$A$13,0),2))</f>
        <v>3 م ب</v>
      </c>
    </row>
    <row r="32" spans="2:38" ht="14.65" thickBot="1" x14ac:dyDescent="0.5">
      <c r="B32" s="29">
        <f t="shared" si="0"/>
        <v>29</v>
      </c>
      <c r="C32" s="30" t="str">
        <f>أرقام!A32</f>
        <v>خالد الخالدي</v>
      </c>
      <c r="D32" s="29" t="str">
        <f>IF(أرقام!C32="","",INDEX(الفصول!$A$2:$B$13,MATCH(أرقام!C32,الفصول!$A$2:$A$13,0),2))</f>
        <v>3 ث أ</v>
      </c>
      <c r="E32" s="29" t="str">
        <f>IF(أرقام!D32="","",INDEX(الفصول!$A$2:$B$13,MATCH(أرقام!D32,الفصول!$A$2:$A$13,0),2))</f>
        <v/>
      </c>
      <c r="F32" s="29" t="str">
        <f>IF(أرقام!E32="","",INDEX(الفصول!$A$2:$B$13,MATCH(أرقام!E32,الفصول!$A$2:$A$13,0),2))</f>
        <v>3 ث ب</v>
      </c>
      <c r="G32" s="29" t="str">
        <f>IF(أرقام!F32="","",INDEX(الفصول!$A$2:$B$13,MATCH(أرقام!F32,الفصول!$A$2:$A$13,0),2))</f>
        <v>3 ث أ</v>
      </c>
      <c r="H32" s="29" t="str">
        <f>IF(أرقام!G32="","",INDEX(الفصول!$A$2:$B$13,MATCH(أرقام!G32,الفصول!$A$2:$A$13,0),2))</f>
        <v/>
      </c>
      <c r="I32" s="29" t="str">
        <f>IF(أرقام!H32="","",INDEX(الفصول!$A$2:$B$13,MATCH(أرقام!H32,الفصول!$A$2:$A$13,0),2))</f>
        <v/>
      </c>
      <c r="J32" s="29" t="str">
        <f>IF(أرقام!I32="","",INDEX(الفصول!$A$2:$B$13,MATCH(أرقام!I32,الفصول!$A$2:$A$13,0),2))</f>
        <v/>
      </c>
      <c r="K32" s="29" t="str">
        <f>IF(أرقام!J32="","",INDEX(الفصول!$A$2:$B$13,MATCH(أرقام!J32,الفصول!$A$2:$A$13,0),2))</f>
        <v>3 ث أ</v>
      </c>
      <c r="L32" s="29" t="str">
        <f>IF(أرقام!K32="","",INDEX(الفصول!$A$2:$B$13,MATCH(أرقام!K32,الفصول!$A$2:$A$13,0),2))</f>
        <v/>
      </c>
      <c r="M32" s="29" t="str">
        <f>IF(أرقام!L32="","",INDEX(الفصول!$A$2:$B$13,MATCH(أرقام!L32,الفصول!$A$2:$A$13,0),2))</f>
        <v/>
      </c>
      <c r="N32" s="29" t="str">
        <f>IF(أرقام!M32="","",INDEX(الفصول!$A$2:$B$13,MATCH(أرقام!M32,الفصول!$A$2:$A$13,0),2))</f>
        <v/>
      </c>
      <c r="O32" s="29" t="str">
        <f>IF(أرقام!N32="","",INDEX(الفصول!$A$2:$B$13,MATCH(أرقام!N32,الفصول!$A$2:$A$13,0),2))</f>
        <v>3 ث أ</v>
      </c>
      <c r="P32" s="29" t="str">
        <f>IF(أرقام!O32="","",INDEX(الفصول!$A$2:$B$13,MATCH(أرقام!O32,الفصول!$A$2:$A$13,0),2))</f>
        <v>3 ث ب</v>
      </c>
      <c r="Q32" s="29" t="str">
        <f>IF(أرقام!P32="","",INDEX(الفصول!$A$2:$B$13,MATCH(أرقام!P32,الفصول!$A$2:$A$13,0),2))</f>
        <v>3 ث ب</v>
      </c>
      <c r="R32" s="29" t="str">
        <f>IF(أرقام!Q32="","",INDEX(الفصول!$A$2:$B$13,MATCH(أرقام!Q32,الفصول!$A$2:$A$13,0),2))</f>
        <v>3 ث أ</v>
      </c>
      <c r="S32" s="29" t="str">
        <f>IF(أرقام!R32="","",INDEX(الفصول!$A$2:$B$13,MATCH(أرقام!R32,الفصول!$A$2:$A$13,0),2))</f>
        <v>3 ث ب</v>
      </c>
      <c r="T32" s="29" t="str">
        <f>IF(أرقام!S32="","",INDEX(الفصول!$A$2:$B$13,MATCH(أرقام!S32,الفصول!$A$2:$A$13,0),2))</f>
        <v>3 ث ب</v>
      </c>
      <c r="U32" s="29" t="str">
        <f>IF(أرقام!T32="","",INDEX(الفصول!$A$2:$B$13,MATCH(أرقام!T32,الفصول!$A$2:$A$13,0),2))</f>
        <v/>
      </c>
      <c r="V32" s="29" t="str">
        <f>IF(أرقام!U32="","",INDEX(الفصول!$A$2:$B$13,MATCH(أرقام!U32,الفصول!$A$2:$A$13,0),2))</f>
        <v/>
      </c>
      <c r="W32" s="29" t="str">
        <f>IF(أرقام!V32="","",INDEX(الفصول!$A$2:$B$13,MATCH(أرقام!V32,الفصول!$A$2:$A$13,0),2))</f>
        <v/>
      </c>
      <c r="X32" s="29" t="str">
        <f>IF(أرقام!W32="","",INDEX(الفصول!$A$2:$B$13,MATCH(أرقام!W32,الفصول!$A$2:$A$13,0),2))</f>
        <v/>
      </c>
      <c r="Y32" s="29" t="str">
        <f>IF(أرقام!X32="","",INDEX(الفصول!$A$2:$B$13,MATCH(أرقام!X32,الفصول!$A$2:$A$13,0),2))</f>
        <v>3 ث ب</v>
      </c>
      <c r="Z32" s="29" t="str">
        <f>IF(أرقام!Y32="","",INDEX(الفصول!$A$2:$B$13,MATCH(أرقام!Y32,الفصول!$A$2:$A$13,0),2))</f>
        <v>3 ث أ</v>
      </c>
      <c r="AA32" s="29" t="str">
        <f>IF(أرقام!Z32="","",INDEX(الفصول!$A$2:$B$13,MATCH(أرقام!Z32,الفصول!$A$2:$A$13,0),2))</f>
        <v/>
      </c>
      <c r="AB32" s="29" t="str">
        <f>IF(أرقام!AA32="","",INDEX(الفصول!$A$2:$B$13,MATCH(أرقام!AA32,الفصول!$A$2:$A$13,0),2))</f>
        <v/>
      </c>
      <c r="AC32" s="29" t="str">
        <f>IF(أرقام!AB32="","",INDEX(الفصول!$A$2:$B$13,MATCH(أرقام!AB32,الفصول!$A$2:$A$13,0),2))</f>
        <v/>
      </c>
      <c r="AD32" s="29" t="str">
        <f>IF(أرقام!AC32="","",INDEX(الفصول!$A$2:$B$13,MATCH(أرقام!AC32,الفصول!$A$2:$A$13,0),2))</f>
        <v/>
      </c>
      <c r="AE32" s="29" t="str">
        <f>IF(أرقام!AD32="","",INDEX(الفصول!$A$2:$B$13,MATCH(أرقام!AD32,الفصول!$A$2:$A$13,0),2))</f>
        <v/>
      </c>
      <c r="AF32" s="29" t="str">
        <f>IF(أرقام!AE32="","",INDEX(الفصول!$A$2:$B$13,MATCH(أرقام!AE32,الفصول!$A$2:$A$13,0),2))</f>
        <v/>
      </c>
      <c r="AG32" s="29" t="str">
        <f>IF(أرقام!AF32="","",INDEX(الفصول!$A$2:$B$13,MATCH(أرقام!AF32,الفصول!$A$2:$A$13,0),2))</f>
        <v/>
      </c>
      <c r="AH32" s="29" t="str">
        <f>IF(أرقام!AG32="","",INDEX(الفصول!$A$2:$B$13,MATCH(أرقام!AG32,الفصول!$A$2:$A$13,0),2))</f>
        <v>3 ث ب</v>
      </c>
      <c r="AI32" s="29" t="str">
        <f>IF(أرقام!AH32="","",INDEX(الفصول!$A$2:$B$13,MATCH(أرقام!AH32,الفصول!$A$2:$A$13,0),2))</f>
        <v>3 ث ب</v>
      </c>
      <c r="AJ32" s="29" t="str">
        <f>IF(أرقام!AI32="","",INDEX(الفصول!$A$2:$B$13,MATCH(أرقام!AI32,الفصول!$A$2:$A$13,0),2))</f>
        <v>3 ث أ</v>
      </c>
      <c r="AK32" s="29" t="str">
        <f>IF(أرقام!AJ32="","",INDEX(الفصول!$A$2:$B$13,MATCH(أرقام!AJ32,الفصول!$A$2:$A$13,0),2))</f>
        <v>3 ث أ</v>
      </c>
      <c r="AL32" s="29" t="str">
        <f>IF(أرقام!AK32="","",INDEX(الفصول!$A$2:$B$13,MATCH(أرقام!AK32,الفصول!$A$2:$A$13,0),2))</f>
        <v/>
      </c>
    </row>
  </sheetData>
  <mergeCells count="5">
    <mergeCell ref="D2:I2"/>
    <mergeCell ref="K2:P2"/>
    <mergeCell ref="R2:W2"/>
    <mergeCell ref="Y2:AD2"/>
    <mergeCell ref="AF2:AL2"/>
  </mergeCells>
  <pageMargins left="0.25" right="0.25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L32"/>
  <sheetViews>
    <sheetView showGridLines="0" rightToLeft="1" zoomScale="90" zoomScaleNormal="90" workbookViewId="0">
      <selection activeCell="B5" sqref="B5"/>
    </sheetView>
  </sheetViews>
  <sheetFormatPr defaultRowHeight="14.25" x14ac:dyDescent="0.45"/>
  <cols>
    <col min="1" max="1" width="0.73046875" customWidth="1"/>
    <col min="2" max="2" width="2.73046875" hidden="1" customWidth="1"/>
    <col min="3" max="3" width="6.73046875" customWidth="1"/>
    <col min="4" max="37" width="3.46484375" style="45" customWidth="1"/>
    <col min="38" max="38" width="3.73046875" style="45" bestFit="1" customWidth="1"/>
  </cols>
  <sheetData>
    <row r="1" spans="2:38" ht="14.65" thickBot="1" x14ac:dyDescent="0.5">
      <c r="B1" s="47"/>
      <c r="C1" s="47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</row>
    <row r="2" spans="2:38" ht="15" customHeight="1" thickTop="1" thickBot="1" x14ac:dyDescent="0.5">
      <c r="B2" s="47"/>
      <c r="C2" s="47"/>
      <c r="D2" s="64" t="s">
        <v>35</v>
      </c>
      <c r="E2" s="65"/>
      <c r="F2" s="65"/>
      <c r="G2" s="65"/>
      <c r="H2" s="65"/>
      <c r="I2" s="65"/>
      <c r="J2" s="66"/>
      <c r="K2" s="67" t="s">
        <v>38</v>
      </c>
      <c r="L2" s="67"/>
      <c r="M2" s="67"/>
      <c r="N2" s="67"/>
      <c r="O2" s="67"/>
      <c r="P2" s="67"/>
      <c r="Q2" s="67"/>
      <c r="R2" s="64" t="s">
        <v>37</v>
      </c>
      <c r="S2" s="65"/>
      <c r="T2" s="65"/>
      <c r="U2" s="65"/>
      <c r="V2" s="65"/>
      <c r="W2" s="65"/>
      <c r="X2" s="66"/>
      <c r="Y2" s="67" t="s">
        <v>36</v>
      </c>
      <c r="Z2" s="67"/>
      <c r="AA2" s="67"/>
      <c r="AB2" s="67"/>
      <c r="AC2" s="67"/>
      <c r="AD2" s="67"/>
      <c r="AE2" s="67"/>
      <c r="AF2" s="64" t="s">
        <v>31</v>
      </c>
      <c r="AG2" s="65"/>
      <c r="AH2" s="65"/>
      <c r="AI2" s="65"/>
      <c r="AJ2" s="65"/>
      <c r="AK2" s="65"/>
      <c r="AL2" s="66"/>
    </row>
    <row r="3" spans="2:38" ht="15.75" thickTop="1" x14ac:dyDescent="0.6">
      <c r="B3" s="49" t="s">
        <v>0</v>
      </c>
      <c r="C3" s="46" t="s">
        <v>26</v>
      </c>
      <c r="D3" s="50">
        <v>1</v>
      </c>
      <c r="E3" s="51">
        <v>2</v>
      </c>
      <c r="F3" s="51">
        <v>3</v>
      </c>
      <c r="G3" s="51">
        <v>4</v>
      </c>
      <c r="H3" s="51">
        <v>5</v>
      </c>
      <c r="I3" s="51">
        <v>6</v>
      </c>
      <c r="J3" s="52">
        <v>7</v>
      </c>
      <c r="K3" s="53">
        <v>1</v>
      </c>
      <c r="L3" s="54">
        <v>2</v>
      </c>
      <c r="M3" s="54">
        <v>3</v>
      </c>
      <c r="N3" s="54">
        <v>4</v>
      </c>
      <c r="O3" s="54">
        <v>5</v>
      </c>
      <c r="P3" s="54">
        <v>6</v>
      </c>
      <c r="Q3" s="55">
        <v>7</v>
      </c>
      <c r="R3" s="50">
        <v>1</v>
      </c>
      <c r="S3" s="51">
        <v>2</v>
      </c>
      <c r="T3" s="51">
        <v>3</v>
      </c>
      <c r="U3" s="51">
        <v>4</v>
      </c>
      <c r="V3" s="51">
        <v>5</v>
      </c>
      <c r="W3" s="51">
        <v>6</v>
      </c>
      <c r="X3" s="52">
        <v>7</v>
      </c>
      <c r="Y3" s="53">
        <v>1</v>
      </c>
      <c r="Z3" s="54">
        <v>2</v>
      </c>
      <c r="AA3" s="54">
        <v>3</v>
      </c>
      <c r="AB3" s="54">
        <v>4</v>
      </c>
      <c r="AC3" s="54">
        <v>5</v>
      </c>
      <c r="AD3" s="54">
        <v>6</v>
      </c>
      <c r="AE3" s="55">
        <v>7</v>
      </c>
      <c r="AF3" s="50">
        <v>1</v>
      </c>
      <c r="AG3" s="51">
        <v>2</v>
      </c>
      <c r="AH3" s="51">
        <v>3</v>
      </c>
      <c r="AI3" s="51">
        <v>4</v>
      </c>
      <c r="AJ3" s="51">
        <v>5</v>
      </c>
      <c r="AK3" s="51">
        <v>6</v>
      </c>
      <c r="AL3" s="52">
        <v>7</v>
      </c>
    </row>
    <row r="4" spans="2:38" x14ac:dyDescent="0.45">
      <c r="B4" s="56">
        <v>1</v>
      </c>
      <c r="C4" s="57" t="str">
        <f>'النصاب الكامل'!B3</f>
        <v>علي حسين</v>
      </c>
      <c r="D4" s="56" t="str">
        <f>ورقة19!D4</f>
        <v/>
      </c>
      <c r="E4" s="58" t="str">
        <f>ورقة19!E4</f>
        <v/>
      </c>
      <c r="F4" s="58" t="str">
        <f>ورقة19!F4</f>
        <v/>
      </c>
      <c r="G4" s="58" t="str">
        <f>ورقة19!G4</f>
        <v/>
      </c>
      <c r="H4" s="58" t="str">
        <f>ورقة19!H4</f>
        <v>3 م أ</v>
      </c>
      <c r="I4" s="58" t="str">
        <f>ورقة19!I4</f>
        <v>3 م ب</v>
      </c>
      <c r="J4" s="58" t="str">
        <f>ورقة19!J4</f>
        <v>3 م ب</v>
      </c>
      <c r="K4" s="56" t="str">
        <f>ورقة19!K4</f>
        <v/>
      </c>
      <c r="L4" s="58" t="str">
        <f>ورقة19!L4</f>
        <v/>
      </c>
      <c r="M4" s="58" t="str">
        <f>ورقة19!M4</f>
        <v/>
      </c>
      <c r="N4" s="58" t="str">
        <f>ورقة19!N4</f>
        <v>3 م ب</v>
      </c>
      <c r="O4" s="58" t="str">
        <f>ورقة19!O4</f>
        <v/>
      </c>
      <c r="P4" s="58" t="str">
        <f>ورقة19!P4</f>
        <v/>
      </c>
      <c r="Q4" s="58" t="str">
        <f>ورقة19!Q4</f>
        <v>3 م أ</v>
      </c>
      <c r="R4" s="56" t="str">
        <f>ورقة19!R4</f>
        <v/>
      </c>
      <c r="S4" s="58" t="str">
        <f>ورقة19!S4</f>
        <v/>
      </c>
      <c r="T4" s="58" t="str">
        <f>ورقة19!T4</f>
        <v/>
      </c>
      <c r="U4" s="58" t="str">
        <f>ورقة19!U4</f>
        <v>3 م أ</v>
      </c>
      <c r="V4" s="58" t="str">
        <f>ورقة19!V4</f>
        <v/>
      </c>
      <c r="W4" s="58" t="str">
        <f>ورقة19!W4</f>
        <v>3 م ب</v>
      </c>
      <c r="X4" s="58" t="str">
        <f>ورقة19!X4</f>
        <v/>
      </c>
      <c r="Y4" s="56" t="str">
        <f>ورقة19!Y4</f>
        <v>3 م أ</v>
      </c>
      <c r="Z4" s="58" t="str">
        <f>ورقة19!Z4</f>
        <v>3 م أ</v>
      </c>
      <c r="AA4" s="58" t="str">
        <f>ورقة19!AA4</f>
        <v/>
      </c>
      <c r="AB4" s="58" t="str">
        <f>ورقة19!AB4</f>
        <v/>
      </c>
      <c r="AC4" s="58" t="str">
        <f>ورقة19!AC4</f>
        <v>3 م ب</v>
      </c>
      <c r="AD4" s="58" t="str">
        <f>ورقة19!AD4</f>
        <v>3 م ب</v>
      </c>
      <c r="AE4" s="58" t="str">
        <f>ورقة19!AE4</f>
        <v/>
      </c>
      <c r="AF4" s="56" t="str">
        <f>ورقة19!AF4</f>
        <v>3 م أ</v>
      </c>
      <c r="AG4" s="58" t="str">
        <f>ورقة19!AG4</f>
        <v/>
      </c>
      <c r="AH4" s="58" t="str">
        <f>ورقة19!AH4</f>
        <v/>
      </c>
      <c r="AI4" s="58" t="str">
        <f>ورقة19!AI4</f>
        <v/>
      </c>
      <c r="AJ4" s="58" t="str">
        <f>ورقة19!AJ4</f>
        <v/>
      </c>
      <c r="AK4" s="58" t="str">
        <f>ورقة19!AK4</f>
        <v/>
      </c>
      <c r="AL4" s="58" t="str">
        <f>ورقة19!AL4</f>
        <v/>
      </c>
    </row>
    <row r="5" spans="2:38" x14ac:dyDescent="0.45">
      <c r="B5" s="59">
        <f>B4+1</f>
        <v>2</v>
      </c>
      <c r="C5" s="60" t="str">
        <f>'النصاب الكامل'!B4</f>
        <v>خالد جابر</v>
      </c>
      <c r="D5" s="59" t="str">
        <f>ورقة19!D5</f>
        <v>2 م ب</v>
      </c>
      <c r="E5" s="61" t="str">
        <f>ورقة19!E5</f>
        <v/>
      </c>
      <c r="F5" s="61" t="str">
        <f>ورقة19!F5</f>
        <v/>
      </c>
      <c r="G5" s="61" t="str">
        <f>ورقة19!G5</f>
        <v/>
      </c>
      <c r="H5" s="61" t="str">
        <f>ورقة19!H5</f>
        <v/>
      </c>
      <c r="I5" s="61" t="str">
        <f>ورقة19!I5</f>
        <v/>
      </c>
      <c r="J5" s="62" t="str">
        <f>ورقة19!J5</f>
        <v/>
      </c>
      <c r="K5" s="59" t="str">
        <f>ورقة19!K5</f>
        <v xml:space="preserve">1 م </v>
      </c>
      <c r="L5" s="61" t="str">
        <f>ورقة19!L5</f>
        <v/>
      </c>
      <c r="M5" s="61" t="str">
        <f>ورقة19!M5</f>
        <v/>
      </c>
      <c r="N5" s="61" t="str">
        <f>ورقة19!N5</f>
        <v/>
      </c>
      <c r="O5" s="61" t="str">
        <f>ورقة19!O5</f>
        <v>2 م أ</v>
      </c>
      <c r="P5" s="61" t="str">
        <f>ورقة19!P5</f>
        <v/>
      </c>
      <c r="Q5" s="62" t="str">
        <f>ورقة19!Q5</f>
        <v xml:space="preserve">1 م </v>
      </c>
      <c r="R5" s="59" t="str">
        <f>ورقة19!R5</f>
        <v/>
      </c>
      <c r="S5" s="61" t="str">
        <f>ورقة19!S5</f>
        <v/>
      </c>
      <c r="T5" s="61" t="str">
        <f>ورقة19!T5</f>
        <v/>
      </c>
      <c r="U5" s="61" t="str">
        <f>ورقة19!U5</f>
        <v xml:space="preserve">1 م </v>
      </c>
      <c r="V5" s="61" t="str">
        <f>ورقة19!V5</f>
        <v/>
      </c>
      <c r="W5" s="61" t="str">
        <f>ورقة19!W5</f>
        <v/>
      </c>
      <c r="X5" s="62" t="str">
        <f>ورقة19!X5</f>
        <v xml:space="preserve">1 م </v>
      </c>
      <c r="Y5" s="59" t="str">
        <f>ورقة19!Y5</f>
        <v/>
      </c>
      <c r="Z5" s="61" t="str">
        <f>ورقة19!Z5</f>
        <v xml:space="preserve">1 م </v>
      </c>
      <c r="AA5" s="61" t="str">
        <f>ورقة19!AA5</f>
        <v/>
      </c>
      <c r="AB5" s="61" t="str">
        <f>ورقة19!AB5</f>
        <v/>
      </c>
      <c r="AC5" s="61" t="str">
        <f>ورقة19!AC5</f>
        <v/>
      </c>
      <c r="AD5" s="61" t="str">
        <f>ورقة19!AD5</f>
        <v/>
      </c>
      <c r="AE5" s="62" t="str">
        <f>ورقة19!AE5</f>
        <v/>
      </c>
      <c r="AF5" s="59" t="str">
        <f>ورقة19!AF5</f>
        <v/>
      </c>
      <c r="AG5" s="61" t="str">
        <f>ورقة19!AG5</f>
        <v xml:space="preserve">1 م </v>
      </c>
      <c r="AH5" s="61" t="str">
        <f>ورقة19!AH5</f>
        <v/>
      </c>
      <c r="AI5" s="61" t="str">
        <f>ورقة19!AI5</f>
        <v/>
      </c>
      <c r="AJ5" s="61" t="str">
        <f>ورقة19!AJ5</f>
        <v>2 م أ</v>
      </c>
      <c r="AK5" s="61" t="str">
        <f>ورقة19!AK5</f>
        <v xml:space="preserve">1 م </v>
      </c>
      <c r="AL5" s="61" t="str">
        <f>ورقة19!AL5</f>
        <v>2 م ب</v>
      </c>
    </row>
    <row r="6" spans="2:38" x14ac:dyDescent="0.45">
      <c r="B6" s="59">
        <f t="shared" ref="B6:B31" si="0">B5+1</f>
        <v>3</v>
      </c>
      <c r="C6" s="57" t="str">
        <f>'النصاب الكامل'!B5</f>
        <v>فرحان علي</v>
      </c>
      <c r="D6" s="56" t="str">
        <f>ورقة19!D6</f>
        <v>2 م أ</v>
      </c>
      <c r="E6" s="58" t="str">
        <f>ورقة19!E6</f>
        <v/>
      </c>
      <c r="F6" s="58" t="str">
        <f>ورقة19!F6</f>
        <v/>
      </c>
      <c r="G6" s="58" t="str">
        <f>ورقة19!G6</f>
        <v/>
      </c>
      <c r="H6" s="58" t="str">
        <f>ورقة19!H6</f>
        <v/>
      </c>
      <c r="I6" s="58" t="str">
        <f>ورقة19!I6</f>
        <v/>
      </c>
      <c r="J6" s="58" t="str">
        <f>ورقة19!J6</f>
        <v/>
      </c>
      <c r="K6" s="56" t="str">
        <f>ورقة19!K6</f>
        <v>2 م أ</v>
      </c>
      <c r="L6" s="58" t="str">
        <f>ورقة19!L6</f>
        <v>2 م ب</v>
      </c>
      <c r="M6" s="58" t="str">
        <f>ورقة19!M6</f>
        <v/>
      </c>
      <c r="N6" s="58" t="str">
        <f>ورقة19!N6</f>
        <v/>
      </c>
      <c r="O6" s="58" t="str">
        <f>ورقة19!O6</f>
        <v/>
      </c>
      <c r="P6" s="58" t="str">
        <f>ورقة19!P6</f>
        <v/>
      </c>
      <c r="Q6" s="58" t="str">
        <f>ورقة19!Q6</f>
        <v/>
      </c>
      <c r="R6" s="56" t="str">
        <f>ورقة19!R6</f>
        <v/>
      </c>
      <c r="S6" s="58" t="str">
        <f>ورقة19!S6</f>
        <v>3 ث أ</v>
      </c>
      <c r="T6" s="58" t="str">
        <f>ورقة19!T6</f>
        <v/>
      </c>
      <c r="U6" s="58" t="str">
        <f>ورقة19!U6</f>
        <v>2 م ب</v>
      </c>
      <c r="V6" s="58" t="str">
        <f>ورقة19!V6</f>
        <v>2 م أ</v>
      </c>
      <c r="W6" s="58" t="str">
        <f>ورقة19!W6</f>
        <v>2 م أ</v>
      </c>
      <c r="X6" s="58" t="str">
        <f>ورقة19!X6</f>
        <v>2 م ب</v>
      </c>
      <c r="Y6" s="56" t="str">
        <f>ورقة19!Y6</f>
        <v/>
      </c>
      <c r="Z6" s="58" t="str">
        <f>ورقة19!Z6</f>
        <v/>
      </c>
      <c r="AA6" s="58" t="str">
        <f>ورقة19!AA6</f>
        <v/>
      </c>
      <c r="AB6" s="58" t="str">
        <f>ورقة19!AB6</f>
        <v>3 ث ب</v>
      </c>
      <c r="AC6" s="58" t="str">
        <f>ورقة19!AC6</f>
        <v>2 م ب</v>
      </c>
      <c r="AD6" s="58" t="str">
        <f>ورقة19!AD6</f>
        <v>3 ث أ</v>
      </c>
      <c r="AE6" s="58" t="str">
        <f>ورقة19!AE6</f>
        <v>2 م أ</v>
      </c>
      <c r="AF6" s="56" t="str">
        <f>ورقة19!AF6</f>
        <v/>
      </c>
      <c r="AG6" s="58" t="str">
        <f>ورقة19!AG6</f>
        <v/>
      </c>
      <c r="AH6" s="58" t="str">
        <f>ورقة19!AH6</f>
        <v/>
      </c>
      <c r="AI6" s="58" t="str">
        <f>ورقة19!AI6</f>
        <v>2 م ب</v>
      </c>
      <c r="AJ6" s="58" t="str">
        <f>ورقة19!AJ6</f>
        <v>3 ث ب</v>
      </c>
      <c r="AK6" s="58" t="str">
        <f>ورقة19!AK6</f>
        <v/>
      </c>
      <c r="AL6" s="58" t="str">
        <f>ورقة19!AL6</f>
        <v/>
      </c>
    </row>
    <row r="7" spans="2:38" x14ac:dyDescent="0.45">
      <c r="B7" s="59">
        <f t="shared" si="0"/>
        <v>4</v>
      </c>
      <c r="C7" s="60" t="str">
        <f>'النصاب الكامل'!B6</f>
        <v>محمد الحجفي</v>
      </c>
      <c r="D7" s="59" t="str">
        <f>ورقة19!D7</f>
        <v/>
      </c>
      <c r="E7" s="61" t="str">
        <f>ورقة19!E7</f>
        <v/>
      </c>
      <c r="F7" s="61" t="str">
        <f>ورقة19!F7</f>
        <v>1 ث أ</v>
      </c>
      <c r="G7" s="61" t="str">
        <f>ورقة19!G7</f>
        <v/>
      </c>
      <c r="H7" s="61" t="str">
        <f>ورقة19!H7</f>
        <v>1 ث ب</v>
      </c>
      <c r="I7" s="61" t="str">
        <f>ورقة19!I7</f>
        <v/>
      </c>
      <c r="J7" s="62" t="str">
        <f>ورقة19!J7</f>
        <v/>
      </c>
      <c r="K7" s="59" t="str">
        <f>ورقة19!K7</f>
        <v>3 م ب</v>
      </c>
      <c r="L7" s="61" t="str">
        <f>ورقة19!L7</f>
        <v>3 م أ</v>
      </c>
      <c r="M7" s="61" t="str">
        <f>ورقة19!M7</f>
        <v/>
      </c>
      <c r="N7" s="61" t="str">
        <f>ورقة19!N7</f>
        <v/>
      </c>
      <c r="O7" s="61" t="str">
        <f>ورقة19!O7</f>
        <v/>
      </c>
      <c r="P7" s="61" t="str">
        <f>ورقة19!P7</f>
        <v/>
      </c>
      <c r="Q7" s="62" t="str">
        <f>ورقة19!Q7</f>
        <v/>
      </c>
      <c r="R7" s="59" t="str">
        <f>ورقة19!R7</f>
        <v>1 ث ب</v>
      </c>
      <c r="S7" s="61" t="str">
        <f>ورقة19!S7</f>
        <v/>
      </c>
      <c r="T7" s="61" t="str">
        <f>ورقة19!T7</f>
        <v/>
      </c>
      <c r="U7" s="61" t="str">
        <f>ورقة19!U7</f>
        <v/>
      </c>
      <c r="V7" s="61" t="str">
        <f>ورقة19!V7</f>
        <v/>
      </c>
      <c r="W7" s="61" t="str">
        <f>ورقة19!W7</f>
        <v/>
      </c>
      <c r="X7" s="62" t="str">
        <f>ورقة19!X7</f>
        <v/>
      </c>
      <c r="Y7" s="59" t="str">
        <f>ورقة19!Y7</f>
        <v/>
      </c>
      <c r="Z7" s="61" t="str">
        <f>ورقة19!Z7</f>
        <v/>
      </c>
      <c r="AA7" s="61" t="str">
        <f>ورقة19!AA7</f>
        <v/>
      </c>
      <c r="AB7" s="61" t="str">
        <f>ورقة19!AB7</f>
        <v/>
      </c>
      <c r="AC7" s="61" t="str">
        <f>ورقة19!AC7</f>
        <v>1 ث ب</v>
      </c>
      <c r="AD7" s="61" t="str">
        <f>ورقة19!AD7</f>
        <v>1 ث أ</v>
      </c>
      <c r="AE7" s="62" t="str">
        <f>ورقة19!AE7</f>
        <v/>
      </c>
      <c r="AF7" s="59" t="str">
        <f>ورقة19!AF7</f>
        <v/>
      </c>
      <c r="AG7" s="61" t="str">
        <f>ورقة19!AG7</f>
        <v/>
      </c>
      <c r="AH7" s="61" t="str">
        <f>ورقة19!AH7</f>
        <v>3 م ب</v>
      </c>
      <c r="AI7" s="61" t="str">
        <f>ورقة19!AI7</f>
        <v>1 ث أ</v>
      </c>
      <c r="AJ7" s="61" t="str">
        <f>ورقة19!AJ7</f>
        <v>3 م أ</v>
      </c>
      <c r="AK7" s="61" t="str">
        <f>ورقة19!AK7</f>
        <v/>
      </c>
      <c r="AL7" s="61" t="str">
        <f>ورقة19!AL7</f>
        <v/>
      </c>
    </row>
    <row r="8" spans="2:38" x14ac:dyDescent="0.45">
      <c r="B8" s="59">
        <f t="shared" si="0"/>
        <v>5</v>
      </c>
      <c r="C8" s="57" t="str">
        <f>'النصاب الكامل'!B7</f>
        <v>أبو عاصم</v>
      </c>
      <c r="D8" s="56" t="str">
        <f>ورقة19!D8</f>
        <v/>
      </c>
      <c r="E8" s="58" t="str">
        <f>ورقة19!E8</f>
        <v>1 ث أ</v>
      </c>
      <c r="F8" s="58" t="str">
        <f>ورقة19!F8</f>
        <v>1 ث ب</v>
      </c>
      <c r="G8" s="58" t="str">
        <f>ورقة19!G8</f>
        <v/>
      </c>
      <c r="H8" s="58" t="str">
        <f>ورقة19!H8</f>
        <v/>
      </c>
      <c r="I8" s="58" t="str">
        <f>ورقة19!I8</f>
        <v/>
      </c>
      <c r="J8" s="58" t="str">
        <f>ورقة19!J8</f>
        <v/>
      </c>
      <c r="K8" s="56" t="str">
        <f>ورقة19!K8</f>
        <v/>
      </c>
      <c r="L8" s="58" t="str">
        <f>ورقة19!L8</f>
        <v>1 ث ب</v>
      </c>
      <c r="M8" s="58" t="str">
        <f>ورقة19!M8</f>
        <v/>
      </c>
      <c r="N8" s="58" t="str">
        <f>ورقة19!N8</f>
        <v/>
      </c>
      <c r="O8" s="58" t="str">
        <f>ورقة19!O8</f>
        <v/>
      </c>
      <c r="P8" s="58" t="str">
        <f>ورقة19!P8</f>
        <v/>
      </c>
      <c r="Q8" s="58" t="str">
        <f>ورقة19!Q8</f>
        <v/>
      </c>
      <c r="R8" s="56" t="str">
        <f>ورقة19!R8</f>
        <v/>
      </c>
      <c r="S8" s="58" t="str">
        <f>ورقة19!S8</f>
        <v/>
      </c>
      <c r="T8" s="58" t="str">
        <f>ورقة19!T8</f>
        <v>1 ث ب</v>
      </c>
      <c r="U8" s="58" t="str">
        <f>ورقة19!U8</f>
        <v/>
      </c>
      <c r="V8" s="58" t="str">
        <f>ورقة19!V8</f>
        <v/>
      </c>
      <c r="W8" s="58" t="str">
        <f>ورقة19!W8</f>
        <v>1 ث أ</v>
      </c>
      <c r="X8" s="58" t="str">
        <f>ورقة19!X8</f>
        <v/>
      </c>
      <c r="Y8" s="56" t="str">
        <f>ورقة19!Y8</f>
        <v/>
      </c>
      <c r="Z8" s="58" t="str">
        <f>ورقة19!Z8</f>
        <v>1 ث ب</v>
      </c>
      <c r="AA8" s="58" t="str">
        <f>ورقة19!AA8</f>
        <v/>
      </c>
      <c r="AB8" s="58" t="str">
        <f>ورقة19!AB8</f>
        <v>1 ث أ</v>
      </c>
      <c r="AC8" s="58" t="str">
        <f>ورقة19!AC8</f>
        <v/>
      </c>
      <c r="AD8" s="58" t="str">
        <f>ورقة19!AD8</f>
        <v/>
      </c>
      <c r="AE8" s="58" t="str">
        <f>ورقة19!AE8</f>
        <v/>
      </c>
      <c r="AF8" s="56" t="str">
        <f>ورقة19!AF8</f>
        <v/>
      </c>
      <c r="AG8" s="58" t="str">
        <f>ورقة19!AG8</f>
        <v/>
      </c>
      <c r="AH8" s="58" t="str">
        <f>ورقة19!AH8</f>
        <v>1 ث أ</v>
      </c>
      <c r="AI8" s="58" t="str">
        <f>ورقة19!AI8</f>
        <v/>
      </c>
      <c r="AJ8" s="58" t="str">
        <f>ورقة19!AJ8</f>
        <v/>
      </c>
      <c r="AK8" s="58" t="str">
        <f>ورقة19!AK8</f>
        <v/>
      </c>
      <c r="AL8" s="58" t="str">
        <f>ورقة19!AL8</f>
        <v/>
      </c>
    </row>
    <row r="9" spans="2:38" x14ac:dyDescent="0.45">
      <c r="B9" s="59">
        <f t="shared" si="0"/>
        <v>6</v>
      </c>
      <c r="C9" s="60" t="str">
        <f>'النصاب الكامل'!B8</f>
        <v>علي اليحيوي</v>
      </c>
      <c r="D9" s="59" t="str">
        <f>ورقة19!D9</f>
        <v/>
      </c>
      <c r="E9" s="61" t="str">
        <f>ورقة19!E9</f>
        <v xml:space="preserve">1 م </v>
      </c>
      <c r="F9" s="61" t="str">
        <f>ورقة19!F9</f>
        <v>2 م ب</v>
      </c>
      <c r="G9" s="61" t="str">
        <f>ورقة19!G9</f>
        <v/>
      </c>
      <c r="H9" s="61" t="str">
        <f>ورقة19!H9</f>
        <v/>
      </c>
      <c r="I9" s="61" t="str">
        <f>ورقة19!I9</f>
        <v/>
      </c>
      <c r="J9" s="62" t="str">
        <f>ورقة19!J9</f>
        <v/>
      </c>
      <c r="K9" s="59" t="str">
        <f>ورقة19!K9</f>
        <v/>
      </c>
      <c r="L9" s="61" t="str">
        <f>ورقة19!L9</f>
        <v/>
      </c>
      <c r="M9" s="61" t="str">
        <f>ورقة19!M9</f>
        <v>2 م أ</v>
      </c>
      <c r="N9" s="61" t="str">
        <f>ورقة19!N9</f>
        <v>2 م ب</v>
      </c>
      <c r="O9" s="61" t="str">
        <f>ورقة19!O9</f>
        <v/>
      </c>
      <c r="P9" s="61" t="str">
        <f>ورقة19!P9</f>
        <v/>
      </c>
      <c r="Q9" s="62" t="str">
        <f>ورقة19!Q9</f>
        <v/>
      </c>
      <c r="R9" s="59" t="str">
        <f>ورقة19!R9</f>
        <v>2 م أ</v>
      </c>
      <c r="S9" s="61" t="str">
        <f>ورقة19!S9</f>
        <v>2 م ب</v>
      </c>
      <c r="T9" s="61" t="str">
        <f>ورقة19!T9</f>
        <v/>
      </c>
      <c r="U9" s="61" t="str">
        <f>ورقة19!U9</f>
        <v/>
      </c>
      <c r="V9" s="61" t="str">
        <f>ورقة19!V9</f>
        <v/>
      </c>
      <c r="W9" s="61" t="str">
        <f>ورقة19!W9</f>
        <v/>
      </c>
      <c r="X9" s="62" t="str">
        <f>ورقة19!X9</f>
        <v/>
      </c>
      <c r="Y9" s="59" t="str">
        <f>ورقة19!Y9</f>
        <v/>
      </c>
      <c r="Z9" s="61" t="str">
        <f>ورقة19!Z9</f>
        <v/>
      </c>
      <c r="AA9" s="61" t="str">
        <f>ورقة19!AA9</f>
        <v xml:space="preserve">1 م </v>
      </c>
      <c r="AB9" s="61" t="str">
        <f>ورقة19!AB9</f>
        <v xml:space="preserve">1 م </v>
      </c>
      <c r="AC9" s="61" t="str">
        <f>ورقة19!AC9</f>
        <v/>
      </c>
      <c r="AD9" s="61" t="str">
        <f>ورقة19!AD9</f>
        <v>2 م أ</v>
      </c>
      <c r="AE9" s="62" t="str">
        <f>ورقة19!AE9</f>
        <v>2 م ب</v>
      </c>
      <c r="AF9" s="59" t="str">
        <f>ورقة19!AF9</f>
        <v/>
      </c>
      <c r="AG9" s="61" t="str">
        <f>ورقة19!AG9</f>
        <v/>
      </c>
      <c r="AH9" s="61" t="str">
        <f>ورقة19!AH9</f>
        <v>2 م ب</v>
      </c>
      <c r="AI9" s="61" t="str">
        <f>ورقة19!AI9</f>
        <v xml:space="preserve">1 م </v>
      </c>
      <c r="AJ9" s="61" t="str">
        <f>ورقة19!AJ9</f>
        <v xml:space="preserve">1 م </v>
      </c>
      <c r="AK9" s="61" t="str">
        <f>ورقة19!AK9</f>
        <v>2 م أ</v>
      </c>
      <c r="AL9" s="61" t="str">
        <f>ورقة19!AL9</f>
        <v>2 م أ</v>
      </c>
    </row>
    <row r="10" spans="2:38" x14ac:dyDescent="0.45">
      <c r="B10" s="59">
        <f t="shared" si="0"/>
        <v>7</v>
      </c>
      <c r="C10" s="57" t="str">
        <f>'النصاب الكامل'!B9</f>
        <v>جبر الغزواني</v>
      </c>
      <c r="D10" s="56" t="str">
        <f>ورقة19!D10</f>
        <v/>
      </c>
      <c r="E10" s="58" t="str">
        <f>ورقة19!E10</f>
        <v/>
      </c>
      <c r="F10" s="58" t="str">
        <f>ورقة19!F10</f>
        <v/>
      </c>
      <c r="G10" s="58" t="str">
        <f>ورقة19!G10</f>
        <v/>
      </c>
      <c r="H10" s="58" t="str">
        <f>ورقة19!H10</f>
        <v>3 م ب</v>
      </c>
      <c r="I10" s="58" t="str">
        <f>ورقة19!I10</f>
        <v>3 م أ</v>
      </c>
      <c r="J10" s="58" t="str">
        <f>ورقة19!J10</f>
        <v>3 م أ</v>
      </c>
      <c r="K10" s="56" t="str">
        <f>ورقة19!K10</f>
        <v/>
      </c>
      <c r="L10" s="58" t="str">
        <f>ورقة19!L10</f>
        <v/>
      </c>
      <c r="M10" s="58" t="str">
        <f>ورقة19!M10</f>
        <v/>
      </c>
      <c r="N10" s="58" t="str">
        <f>ورقة19!N10</f>
        <v/>
      </c>
      <c r="O10" s="58" t="str">
        <f>ورقة19!O10</f>
        <v>3 م أ</v>
      </c>
      <c r="P10" s="58" t="str">
        <f>ورقة19!P10</f>
        <v>3 م ب</v>
      </c>
      <c r="Q10" s="58" t="str">
        <f>ورقة19!Q10</f>
        <v/>
      </c>
      <c r="R10" s="56" t="str">
        <f>ورقة19!R10</f>
        <v>3 م ب</v>
      </c>
      <c r="S10" s="58" t="str">
        <f>ورقة19!S10</f>
        <v/>
      </c>
      <c r="T10" s="58" t="str">
        <f>ورقة19!T10</f>
        <v>3 م أ</v>
      </c>
      <c r="U10" s="58" t="str">
        <f>ورقة19!U10</f>
        <v/>
      </c>
      <c r="V10" s="58" t="str">
        <f>ورقة19!V10</f>
        <v/>
      </c>
      <c r="W10" s="58" t="str">
        <f>ورقة19!W10</f>
        <v/>
      </c>
      <c r="X10" s="58" t="str">
        <f>ورقة19!X10</f>
        <v/>
      </c>
      <c r="Y10" s="56" t="str">
        <f>ورقة19!Y10</f>
        <v/>
      </c>
      <c r="Z10" s="58" t="str">
        <f>ورقة19!Z10</f>
        <v/>
      </c>
      <c r="AA10" s="58" t="str">
        <f>ورقة19!AA10</f>
        <v/>
      </c>
      <c r="AB10" s="58" t="str">
        <f>ورقة19!AB10</f>
        <v/>
      </c>
      <c r="AC10" s="58" t="str">
        <f>ورقة19!AC10</f>
        <v/>
      </c>
      <c r="AD10" s="58" t="str">
        <f>ورقة19!AD10</f>
        <v>3 م أ</v>
      </c>
      <c r="AE10" s="58" t="str">
        <f>ورقة19!AE10</f>
        <v>3 م ب</v>
      </c>
      <c r="AF10" s="56" t="str">
        <f>ورقة19!AF10</f>
        <v>3 م ب</v>
      </c>
      <c r="AG10" s="58" t="str">
        <f>ورقة19!AG10</f>
        <v/>
      </c>
      <c r="AH10" s="58" t="str">
        <f>ورقة19!AH10</f>
        <v/>
      </c>
      <c r="AI10" s="58" t="str">
        <f>ورقة19!AI10</f>
        <v/>
      </c>
      <c r="AJ10" s="58" t="str">
        <f>ورقة19!AJ10</f>
        <v/>
      </c>
      <c r="AK10" s="58" t="str">
        <f>ورقة19!AK10</f>
        <v/>
      </c>
      <c r="AL10" s="58" t="str">
        <f>ورقة19!AL10</f>
        <v/>
      </c>
    </row>
    <row r="11" spans="2:38" x14ac:dyDescent="0.45">
      <c r="B11" s="59">
        <f t="shared" si="0"/>
        <v>8</v>
      </c>
      <c r="C11" s="60" t="str">
        <f>'النصاب الكامل'!B10</f>
        <v>حسين العثواني</v>
      </c>
      <c r="D11" s="59" t="str">
        <f>ورقة19!D11</f>
        <v/>
      </c>
      <c r="E11" s="61" t="str">
        <f>ورقة19!E11</f>
        <v/>
      </c>
      <c r="F11" s="61" t="str">
        <f>ورقة19!F11</f>
        <v xml:space="preserve">1 م </v>
      </c>
      <c r="G11" s="61" t="str">
        <f>ورقة19!G11</f>
        <v/>
      </c>
      <c r="H11" s="61" t="str">
        <f>ورقة19!H11</f>
        <v>2 ث ب</v>
      </c>
      <c r="I11" s="61" t="str">
        <f>ورقة19!I11</f>
        <v>2 ث أ</v>
      </c>
      <c r="J11" s="62" t="str">
        <f>ورقة19!J11</f>
        <v>2 ث أ</v>
      </c>
      <c r="K11" s="59" t="str">
        <f>ورقة19!K11</f>
        <v/>
      </c>
      <c r="L11" s="61" t="str">
        <f>ورقة19!L11</f>
        <v/>
      </c>
      <c r="M11" s="61" t="str">
        <f>ورقة19!M11</f>
        <v>2 ث ب</v>
      </c>
      <c r="N11" s="61" t="str">
        <f>ورقة19!N11</f>
        <v/>
      </c>
      <c r="O11" s="61" t="str">
        <f>ورقة19!O11</f>
        <v/>
      </c>
      <c r="P11" s="61" t="str">
        <f>ورقة19!P11</f>
        <v/>
      </c>
      <c r="Q11" s="62" t="str">
        <f>ورقة19!Q11</f>
        <v/>
      </c>
      <c r="R11" s="59" t="str">
        <f>ورقة19!R11</f>
        <v xml:space="preserve">1 م </v>
      </c>
      <c r="S11" s="61" t="str">
        <f>ورقة19!S11</f>
        <v/>
      </c>
      <c r="T11" s="61" t="str">
        <f>ورقة19!T11</f>
        <v/>
      </c>
      <c r="U11" s="61" t="str">
        <f>ورقة19!U11</f>
        <v/>
      </c>
      <c r="V11" s="61" t="str">
        <f>ورقة19!V11</f>
        <v/>
      </c>
      <c r="W11" s="61" t="str">
        <f>ورقة19!W11</f>
        <v/>
      </c>
      <c r="X11" s="62" t="str">
        <f>ورقة19!X11</f>
        <v/>
      </c>
      <c r="Y11" s="59" t="str">
        <f>ورقة19!Y11</f>
        <v/>
      </c>
      <c r="Z11" s="61" t="str">
        <f>ورقة19!Z11</f>
        <v/>
      </c>
      <c r="AA11" s="61" t="str">
        <f>ورقة19!AA11</f>
        <v/>
      </c>
      <c r="AB11" s="61" t="str">
        <f>ورقة19!AB11</f>
        <v>2 ث ب</v>
      </c>
      <c r="AC11" s="61" t="str">
        <f>ورقة19!AC11</f>
        <v/>
      </c>
      <c r="AD11" s="61" t="str">
        <f>ورقة19!AD11</f>
        <v>2 ث أ</v>
      </c>
      <c r="AE11" s="62" t="str">
        <f>ورقة19!AE11</f>
        <v/>
      </c>
      <c r="AF11" s="59" t="str">
        <f>ورقة19!AF11</f>
        <v/>
      </c>
      <c r="AG11" s="61" t="str">
        <f>ورقة19!AG11</f>
        <v/>
      </c>
      <c r="AH11" s="61" t="str">
        <f>ورقة19!AH11</f>
        <v xml:space="preserve">1 م </v>
      </c>
      <c r="AI11" s="61" t="str">
        <f>ورقة19!AI11</f>
        <v/>
      </c>
      <c r="AJ11" s="61" t="str">
        <f>ورقة19!AJ11</f>
        <v>2 ث أ</v>
      </c>
      <c r="AK11" s="61" t="str">
        <f>ورقة19!AK11</f>
        <v>2 ث ب</v>
      </c>
      <c r="AL11" s="61" t="str">
        <f>ورقة19!AL11</f>
        <v xml:space="preserve">1 م </v>
      </c>
    </row>
    <row r="12" spans="2:38" x14ac:dyDescent="0.45">
      <c r="B12" s="59">
        <f t="shared" si="0"/>
        <v>9</v>
      </c>
      <c r="C12" s="57" t="str">
        <f>'النصاب الكامل'!B11</f>
        <v>احمد يحيى</v>
      </c>
      <c r="D12" s="56" t="str">
        <f>ورقة19!D12</f>
        <v/>
      </c>
      <c r="E12" s="58" t="str">
        <f>ورقة19!E12</f>
        <v/>
      </c>
      <c r="F12" s="58" t="str">
        <f>ورقة19!F12</f>
        <v/>
      </c>
      <c r="G12" s="58" t="str">
        <f>ورقة19!G12</f>
        <v/>
      </c>
      <c r="H12" s="58" t="str">
        <f>ورقة19!H12</f>
        <v/>
      </c>
      <c r="I12" s="58" t="str">
        <f>ورقة19!I12</f>
        <v>2 م ب</v>
      </c>
      <c r="J12" s="58" t="str">
        <f>ورقة19!J12</f>
        <v>2 م ب</v>
      </c>
      <c r="K12" s="56" t="str">
        <f>ورقة19!K12</f>
        <v/>
      </c>
      <c r="L12" s="58" t="str">
        <f>ورقة19!L12</f>
        <v/>
      </c>
      <c r="M12" s="58" t="str">
        <f>ورقة19!M12</f>
        <v/>
      </c>
      <c r="N12" s="58" t="str">
        <f>ورقة19!N12</f>
        <v/>
      </c>
      <c r="O12" s="58" t="str">
        <f>ورقة19!O12</f>
        <v>2 م ب</v>
      </c>
      <c r="P12" s="58" t="str">
        <f>ورقة19!P12</f>
        <v>2 م أ</v>
      </c>
      <c r="Q12" s="58" t="str">
        <f>ورقة19!Q12</f>
        <v>2 م أ</v>
      </c>
      <c r="R12" s="56" t="str">
        <f>ورقة19!R12</f>
        <v>2 م ب</v>
      </c>
      <c r="S12" s="58" t="str">
        <f>ورقة19!S12</f>
        <v>2 م أ</v>
      </c>
      <c r="T12" s="58" t="str">
        <f>ورقة19!T12</f>
        <v/>
      </c>
      <c r="U12" s="58" t="str">
        <f>ورقة19!U12</f>
        <v/>
      </c>
      <c r="V12" s="58" t="str">
        <f>ورقة19!V12</f>
        <v/>
      </c>
      <c r="W12" s="58" t="str">
        <f>ورقة19!W12</f>
        <v/>
      </c>
      <c r="X12" s="58" t="str">
        <f>ورقة19!X12</f>
        <v/>
      </c>
      <c r="Y12" s="56" t="str">
        <f>ورقة19!Y12</f>
        <v>2 م أ</v>
      </c>
      <c r="Z12" s="58" t="str">
        <f>ورقة19!Z12</f>
        <v/>
      </c>
      <c r="AA12" s="58" t="str">
        <f>ورقة19!AA12</f>
        <v/>
      </c>
      <c r="AB12" s="58" t="str">
        <f>ورقة19!AB12</f>
        <v/>
      </c>
      <c r="AC12" s="58" t="str">
        <f>ورقة19!AC12</f>
        <v/>
      </c>
      <c r="AD12" s="58" t="str">
        <f>ورقة19!AD12</f>
        <v/>
      </c>
      <c r="AE12" s="58" t="str">
        <f>ورقة19!AE12</f>
        <v/>
      </c>
      <c r="AF12" s="56" t="str">
        <f>ورقة19!AF12</f>
        <v/>
      </c>
      <c r="AG12" s="58" t="str">
        <f>ورقة19!AG12</f>
        <v/>
      </c>
      <c r="AH12" s="58" t="str">
        <f>ورقة19!AH12</f>
        <v>2 م أ</v>
      </c>
      <c r="AI12" s="58" t="str">
        <f>ورقة19!AI12</f>
        <v>2 م أ</v>
      </c>
      <c r="AJ12" s="58" t="str">
        <f>ورقة19!AJ12</f>
        <v>2 م ب</v>
      </c>
      <c r="AK12" s="58" t="str">
        <f>ورقة19!AK12</f>
        <v>2 م ب</v>
      </c>
      <c r="AL12" s="58" t="str">
        <f>ورقة19!AL12</f>
        <v/>
      </c>
    </row>
    <row r="13" spans="2:38" x14ac:dyDescent="0.45">
      <c r="B13" s="59">
        <f t="shared" si="0"/>
        <v>10</v>
      </c>
      <c r="C13" s="60" t="str">
        <f>'النصاب الكامل'!B12</f>
        <v>سالم حردان</v>
      </c>
      <c r="D13" s="59" t="str">
        <f>ورقة19!D13</f>
        <v xml:space="preserve">1 م </v>
      </c>
      <c r="E13" s="61" t="str">
        <f>ورقة19!E13</f>
        <v/>
      </c>
      <c r="F13" s="61" t="str">
        <f>ورقة19!F13</f>
        <v/>
      </c>
      <c r="G13" s="61" t="str">
        <f>ورقة19!G13</f>
        <v/>
      </c>
      <c r="H13" s="61" t="str">
        <f>ورقة19!H13</f>
        <v/>
      </c>
      <c r="I13" s="61" t="str">
        <f>ورقة19!I13</f>
        <v/>
      </c>
      <c r="J13" s="62" t="str">
        <f>ورقة19!J13</f>
        <v/>
      </c>
      <c r="K13" s="59" t="str">
        <f>ورقة19!K13</f>
        <v/>
      </c>
      <c r="L13" s="61" t="str">
        <f>ورقة19!L13</f>
        <v/>
      </c>
      <c r="M13" s="61" t="str">
        <f>ورقة19!M13</f>
        <v/>
      </c>
      <c r="N13" s="61" t="str">
        <f>ورقة19!N13</f>
        <v>2 م أ</v>
      </c>
      <c r="O13" s="61" t="str">
        <f>ورقة19!O13</f>
        <v/>
      </c>
      <c r="P13" s="61" t="str">
        <f>ورقة19!P13</f>
        <v xml:space="preserve">1 م </v>
      </c>
      <c r="Q13" s="62" t="str">
        <f>ورقة19!Q13</f>
        <v/>
      </c>
      <c r="R13" s="59" t="str">
        <f>ورقة19!R13</f>
        <v/>
      </c>
      <c r="S13" s="61" t="str">
        <f>ورقة19!S13</f>
        <v/>
      </c>
      <c r="T13" s="61" t="str">
        <f>ورقة19!T13</f>
        <v>2 م ب</v>
      </c>
      <c r="U13" s="61" t="str">
        <f>ورقة19!U13</f>
        <v/>
      </c>
      <c r="V13" s="61" t="str">
        <f>ورقة19!V13</f>
        <v/>
      </c>
      <c r="W13" s="61" t="str">
        <f>ورقة19!W13</f>
        <v/>
      </c>
      <c r="X13" s="62" t="str">
        <f>ورقة19!X13</f>
        <v>2 م أ</v>
      </c>
      <c r="Y13" s="59" t="str">
        <f>ورقة19!Y13</f>
        <v/>
      </c>
      <c r="Z13" s="61" t="str">
        <f>ورقة19!Z13</f>
        <v/>
      </c>
      <c r="AA13" s="61" t="str">
        <f>ورقة19!AA13</f>
        <v/>
      </c>
      <c r="AB13" s="61" t="str">
        <f>ورقة19!AB13</f>
        <v>2 م أ</v>
      </c>
      <c r="AC13" s="61" t="str">
        <f>ورقة19!AC13</f>
        <v xml:space="preserve">1 م </v>
      </c>
      <c r="AD13" s="61" t="str">
        <f>ورقة19!AD13</f>
        <v>2 م ب</v>
      </c>
      <c r="AE13" s="62" t="str">
        <f>ورقة19!AE13</f>
        <v/>
      </c>
      <c r="AF13" s="59" t="str">
        <f>ورقة19!AF13</f>
        <v>2 م ب</v>
      </c>
      <c r="AG13" s="61" t="str">
        <f>ورقة19!AG13</f>
        <v/>
      </c>
      <c r="AH13" s="61" t="str">
        <f>ورقة19!AH13</f>
        <v/>
      </c>
      <c r="AI13" s="61" t="str">
        <f>ورقة19!AI13</f>
        <v/>
      </c>
      <c r="AJ13" s="61" t="str">
        <f>ورقة19!AJ13</f>
        <v/>
      </c>
      <c r="AK13" s="61" t="str">
        <f>ورقة19!AK13</f>
        <v/>
      </c>
      <c r="AL13" s="61" t="str">
        <f>ورقة19!AL13</f>
        <v/>
      </c>
    </row>
    <row r="14" spans="2:38" x14ac:dyDescent="0.45">
      <c r="B14" s="59">
        <f t="shared" si="0"/>
        <v>11</v>
      </c>
      <c r="C14" s="57" t="str">
        <f>'النصاب الكامل'!B13</f>
        <v>الفيدلي</v>
      </c>
      <c r="D14" s="56" t="str">
        <f>ورقة19!D14</f>
        <v/>
      </c>
      <c r="E14" s="58" t="str">
        <f>ورقة19!E14</f>
        <v/>
      </c>
      <c r="F14" s="58" t="str">
        <f>ورقة19!F14</f>
        <v/>
      </c>
      <c r="G14" s="58" t="str">
        <f>ورقة19!G14</f>
        <v>2 م ب</v>
      </c>
      <c r="H14" s="58" t="str">
        <f>ورقة19!H14</f>
        <v/>
      </c>
      <c r="I14" s="58" t="str">
        <f>ورقة19!I14</f>
        <v>2 م أ</v>
      </c>
      <c r="J14" s="58" t="str">
        <f>ورقة19!J14</f>
        <v/>
      </c>
      <c r="K14" s="56" t="str">
        <f>ورقة19!K14</f>
        <v/>
      </c>
      <c r="L14" s="58" t="str">
        <f>ورقة19!L14</f>
        <v/>
      </c>
      <c r="M14" s="58" t="str">
        <f>ورقة19!M14</f>
        <v xml:space="preserve">1 م </v>
      </c>
      <c r="N14" s="58" t="str">
        <f>ورقة19!N14</f>
        <v/>
      </c>
      <c r="O14" s="58" t="str">
        <f>ورقة19!O14</f>
        <v/>
      </c>
      <c r="P14" s="58" t="str">
        <f>ورقة19!P14</f>
        <v/>
      </c>
      <c r="Q14" s="58" t="str">
        <f>ورقة19!Q14</f>
        <v/>
      </c>
      <c r="R14" s="56" t="str">
        <f>ورقة19!R14</f>
        <v/>
      </c>
      <c r="S14" s="58" t="str">
        <f>ورقة19!S14</f>
        <v/>
      </c>
      <c r="T14" s="58" t="str">
        <f>ورقة19!T14</f>
        <v xml:space="preserve">1 م </v>
      </c>
      <c r="U14" s="58" t="str">
        <f>ورقة19!U14</f>
        <v/>
      </c>
      <c r="V14" s="58" t="str">
        <f>ورقة19!V14</f>
        <v/>
      </c>
      <c r="W14" s="58" t="str">
        <f>ورقة19!W14</f>
        <v/>
      </c>
      <c r="X14" s="58" t="str">
        <f>ورقة19!X14</f>
        <v/>
      </c>
      <c r="Y14" s="56" t="str">
        <f>ورقة19!Y14</f>
        <v>2 م ب</v>
      </c>
      <c r="Z14" s="58" t="str">
        <f>ورقة19!Z14</f>
        <v>2 م أ</v>
      </c>
      <c r="AA14" s="58" t="str">
        <f>ورقة19!AA14</f>
        <v/>
      </c>
      <c r="AB14" s="58" t="str">
        <f>ورقة19!AB14</f>
        <v/>
      </c>
      <c r="AC14" s="58" t="str">
        <f>ورقة19!AC14</f>
        <v/>
      </c>
      <c r="AD14" s="58" t="str">
        <f>ورقة19!AD14</f>
        <v/>
      </c>
      <c r="AE14" s="58" t="str">
        <f>ورقة19!AE14</f>
        <v/>
      </c>
      <c r="AF14" s="56" t="str">
        <f>ورقة19!AF14</f>
        <v/>
      </c>
      <c r="AG14" s="58" t="str">
        <f>ورقة19!AG14</f>
        <v/>
      </c>
      <c r="AH14" s="58" t="str">
        <f>ورقة19!AH14</f>
        <v/>
      </c>
      <c r="AI14" s="58" t="str">
        <f>ورقة19!AI14</f>
        <v>3 م ب</v>
      </c>
      <c r="AJ14" s="58" t="str">
        <f>ورقة19!AJ14</f>
        <v>3 م ب</v>
      </c>
      <c r="AK14" s="58" t="str">
        <f>ورقة19!AK14</f>
        <v>3 م أ</v>
      </c>
      <c r="AL14" s="58" t="str">
        <f>ورقة19!AL14</f>
        <v>3 م أ</v>
      </c>
    </row>
    <row r="15" spans="2:38" x14ac:dyDescent="0.45">
      <c r="B15" s="59">
        <f t="shared" si="0"/>
        <v>12</v>
      </c>
      <c r="C15" s="60" t="str">
        <f>'النصاب الكامل'!B14</f>
        <v>يحيى العزي</v>
      </c>
      <c r="D15" s="59" t="str">
        <f>ورقة19!D15</f>
        <v>3 م ب</v>
      </c>
      <c r="E15" s="61" t="str">
        <f>ورقة19!E15</f>
        <v>3 م أ</v>
      </c>
      <c r="F15" s="61" t="str">
        <f>ورقة19!F15</f>
        <v/>
      </c>
      <c r="G15" s="61" t="str">
        <f>ورقة19!G15</f>
        <v/>
      </c>
      <c r="H15" s="61" t="str">
        <f>ورقة19!H15</f>
        <v/>
      </c>
      <c r="I15" s="61" t="str">
        <f>ورقة19!I15</f>
        <v>1 ث أ</v>
      </c>
      <c r="J15" s="62" t="str">
        <f>ورقة19!J15</f>
        <v>1 ث ب</v>
      </c>
      <c r="K15" s="59" t="str">
        <f>ورقة19!K15</f>
        <v/>
      </c>
      <c r="L15" s="61" t="str">
        <f>ورقة19!L15</f>
        <v/>
      </c>
      <c r="M15" s="61" t="str">
        <f>ورقة19!M15</f>
        <v>3 م أ</v>
      </c>
      <c r="N15" s="61" t="str">
        <f>ورقة19!N15</f>
        <v>1 ث ب</v>
      </c>
      <c r="O15" s="61" t="str">
        <f>ورقة19!O15</f>
        <v>3 م ب</v>
      </c>
      <c r="P15" s="61" t="str">
        <f>ورقة19!P15</f>
        <v>1 ث أ</v>
      </c>
      <c r="Q15" s="62" t="str">
        <f>ورقة19!Q15</f>
        <v/>
      </c>
      <c r="R15" s="59" t="str">
        <f>ورقة19!R15</f>
        <v>3 م أ</v>
      </c>
      <c r="S15" s="61" t="str">
        <f>ورقة19!S15</f>
        <v/>
      </c>
      <c r="T15" s="61" t="str">
        <f>ورقة19!T15</f>
        <v/>
      </c>
      <c r="U15" s="61" t="str">
        <f>ورقة19!U15</f>
        <v>1 ث أ</v>
      </c>
      <c r="V15" s="61" t="str">
        <f>ورقة19!V15</f>
        <v>1 ث ب</v>
      </c>
      <c r="W15" s="61" t="str">
        <f>ورقة19!W15</f>
        <v>3 م أ</v>
      </c>
      <c r="X15" s="62" t="str">
        <f>ورقة19!X15</f>
        <v>3 م ب</v>
      </c>
      <c r="Y15" s="59" t="str">
        <f>ورقة19!Y15</f>
        <v>1 ث أ</v>
      </c>
      <c r="Z15" s="61" t="str">
        <f>ورقة19!Z15</f>
        <v>3 م ب</v>
      </c>
      <c r="AA15" s="61" t="str">
        <f>ورقة19!AA15</f>
        <v>1 ث ب</v>
      </c>
      <c r="AB15" s="61" t="str">
        <f>ورقة19!AB15</f>
        <v/>
      </c>
      <c r="AC15" s="61" t="str">
        <f>ورقة19!AC15</f>
        <v/>
      </c>
      <c r="AD15" s="61" t="str">
        <f>ورقة19!AD15</f>
        <v/>
      </c>
      <c r="AE15" s="62" t="str">
        <f>ورقة19!AE15</f>
        <v/>
      </c>
      <c r="AF15" s="59" t="str">
        <f>ورقة19!AF15</f>
        <v>1 ث أ</v>
      </c>
      <c r="AG15" s="61" t="str">
        <f>ورقة19!AG15</f>
        <v>1 ث ب</v>
      </c>
      <c r="AH15" s="61" t="str">
        <f>ورقة19!AH15</f>
        <v/>
      </c>
      <c r="AI15" s="61" t="str">
        <f>ورقة19!AI15</f>
        <v/>
      </c>
      <c r="AJ15" s="61" t="str">
        <f>ورقة19!AJ15</f>
        <v/>
      </c>
      <c r="AK15" s="61" t="str">
        <f>ورقة19!AK15</f>
        <v/>
      </c>
      <c r="AL15" s="61" t="str">
        <f>ورقة19!AL15</f>
        <v/>
      </c>
    </row>
    <row r="16" spans="2:38" x14ac:dyDescent="0.45">
      <c r="B16" s="59">
        <f t="shared" si="0"/>
        <v>13</v>
      </c>
      <c r="C16" s="57" t="str">
        <f>'النصاب الكامل'!B15</f>
        <v>جبران علي</v>
      </c>
      <c r="D16" s="56" t="str">
        <f>ورقة19!D16</f>
        <v/>
      </c>
      <c r="E16" s="58" t="str">
        <f>ورقة19!E16</f>
        <v/>
      </c>
      <c r="F16" s="58" t="str">
        <f>ورقة19!F16</f>
        <v>3 م أ</v>
      </c>
      <c r="G16" s="58" t="str">
        <f>ورقة19!G16</f>
        <v>3 م أ</v>
      </c>
      <c r="H16" s="58" t="str">
        <f>ورقة19!H16</f>
        <v>1 ث أ</v>
      </c>
      <c r="I16" s="58" t="str">
        <f>ورقة19!I16</f>
        <v>1 ث ب</v>
      </c>
      <c r="J16" s="58" t="str">
        <f>ورقة19!J16</f>
        <v>1 ث أ</v>
      </c>
      <c r="K16" s="56" t="str">
        <f>ورقة19!K16</f>
        <v>3 م أ</v>
      </c>
      <c r="L16" s="58" t="str">
        <f>ورقة19!L16</f>
        <v>1 ث أ</v>
      </c>
      <c r="M16" s="58" t="str">
        <f>ورقة19!M16</f>
        <v>1 ث ب</v>
      </c>
      <c r="N16" s="58" t="str">
        <f>ورقة19!N16</f>
        <v/>
      </c>
      <c r="O16" s="58" t="str">
        <f>ورقة19!O16</f>
        <v/>
      </c>
      <c r="P16" s="58" t="str">
        <f>ورقة19!P16</f>
        <v/>
      </c>
      <c r="Q16" s="58" t="str">
        <f>ورقة19!Q16</f>
        <v/>
      </c>
      <c r="R16" s="56" t="str">
        <f>ورقة19!R16</f>
        <v/>
      </c>
      <c r="S16" s="58" t="str">
        <f>ورقة19!S16</f>
        <v/>
      </c>
      <c r="T16" s="58" t="str">
        <f>ورقة19!T16</f>
        <v/>
      </c>
      <c r="U16" s="58" t="str">
        <f>ورقة19!U16</f>
        <v/>
      </c>
      <c r="V16" s="58" t="str">
        <f>ورقة19!V16</f>
        <v>1 ث أ</v>
      </c>
      <c r="W16" s="58" t="str">
        <f>ورقة19!W16</f>
        <v>1 ث ب</v>
      </c>
      <c r="X16" s="58" t="str">
        <f>ورقة19!X16</f>
        <v>3 م أ</v>
      </c>
      <c r="Y16" s="56" t="str">
        <f>ورقة19!Y16</f>
        <v>1 ث ب</v>
      </c>
      <c r="Z16" s="58" t="str">
        <f>ورقة19!Z16</f>
        <v/>
      </c>
      <c r="AA16" s="58" t="str">
        <f>ورقة19!AA16</f>
        <v/>
      </c>
      <c r="AB16" s="58" t="str">
        <f>ورقة19!AB16</f>
        <v/>
      </c>
      <c r="AC16" s="58" t="str">
        <f>ورقة19!AC16</f>
        <v/>
      </c>
      <c r="AD16" s="58" t="str">
        <f>ورقة19!AD16</f>
        <v/>
      </c>
      <c r="AE16" s="58" t="str">
        <f>ورقة19!AE16</f>
        <v/>
      </c>
      <c r="AF16" s="56" t="str">
        <f>ورقة19!AF16</f>
        <v/>
      </c>
      <c r="AG16" s="58" t="str">
        <f>ورقة19!AG16</f>
        <v/>
      </c>
      <c r="AH16" s="58" t="str">
        <f>ورقة19!AH16</f>
        <v>3 م أ</v>
      </c>
      <c r="AI16" s="58" t="str">
        <f>ورقة19!AI16</f>
        <v>3 م أ</v>
      </c>
      <c r="AJ16" s="58" t="str">
        <f>ورقة19!AJ16</f>
        <v>1 ث أ</v>
      </c>
      <c r="AK16" s="58" t="str">
        <f>ورقة19!AK16</f>
        <v>1 ث ب</v>
      </c>
      <c r="AL16" s="58" t="str">
        <f>ورقة19!AL16</f>
        <v/>
      </c>
    </row>
    <row r="17" spans="2:38" x14ac:dyDescent="0.45">
      <c r="B17" s="59">
        <f t="shared" si="0"/>
        <v>14</v>
      </c>
      <c r="C17" s="60" t="str">
        <f>'النصاب الكامل'!B16</f>
        <v>يحيى احمد</v>
      </c>
      <c r="D17" s="59" t="str">
        <f>ورقة19!D17</f>
        <v/>
      </c>
      <c r="E17" s="61" t="str">
        <f>ورقة19!E17</f>
        <v>2 م أ</v>
      </c>
      <c r="F17" s="61" t="str">
        <f>ورقة19!F17</f>
        <v/>
      </c>
      <c r="G17" s="61" t="str">
        <f>ورقة19!G17</f>
        <v>1 ث أ</v>
      </c>
      <c r="H17" s="61" t="str">
        <f>ورقة19!H17</f>
        <v>3 ث أ</v>
      </c>
      <c r="I17" s="61" t="str">
        <f>ورقة19!I17</f>
        <v/>
      </c>
      <c r="J17" s="62" t="str">
        <f>ورقة19!J17</f>
        <v/>
      </c>
      <c r="K17" s="59" t="str">
        <f>ورقة19!K17</f>
        <v>1 ث أ</v>
      </c>
      <c r="L17" s="61" t="str">
        <f>ورقة19!L17</f>
        <v/>
      </c>
      <c r="M17" s="61" t="str">
        <f>ورقة19!M17</f>
        <v/>
      </c>
      <c r="N17" s="61" t="str">
        <f>ورقة19!N17</f>
        <v/>
      </c>
      <c r="O17" s="61" t="str">
        <f>ورقة19!O17</f>
        <v/>
      </c>
      <c r="P17" s="61" t="str">
        <f>ورقة19!P17</f>
        <v/>
      </c>
      <c r="Q17" s="62" t="str">
        <f>ورقة19!Q17</f>
        <v/>
      </c>
      <c r="R17" s="59" t="str">
        <f>ورقة19!R17</f>
        <v/>
      </c>
      <c r="S17" s="61" t="str">
        <f>ورقة19!S17</f>
        <v>3 م أ</v>
      </c>
      <c r="T17" s="61" t="str">
        <f>ورقة19!T17</f>
        <v/>
      </c>
      <c r="U17" s="61" t="str">
        <f>ورقة19!U17</f>
        <v/>
      </c>
      <c r="V17" s="61" t="str">
        <f>ورقة19!V17</f>
        <v>3 ث أ</v>
      </c>
      <c r="W17" s="61" t="str">
        <f>ورقة19!W17</f>
        <v/>
      </c>
      <c r="X17" s="62" t="str">
        <f>ورقة19!X17</f>
        <v/>
      </c>
      <c r="Y17" s="59" t="str">
        <f>ورقة19!Y17</f>
        <v xml:space="preserve">1 م </v>
      </c>
      <c r="Z17" s="61" t="str">
        <f>ورقة19!Z17</f>
        <v/>
      </c>
      <c r="AA17" s="61" t="str">
        <f>ورقة19!AA17</f>
        <v/>
      </c>
      <c r="AB17" s="61" t="str">
        <f>ورقة19!AB17</f>
        <v>3 م أ</v>
      </c>
      <c r="AC17" s="61" t="str">
        <f>ورقة19!AC17</f>
        <v>3 ث أ</v>
      </c>
      <c r="AD17" s="61" t="str">
        <f>ورقة19!AD17</f>
        <v/>
      </c>
      <c r="AE17" s="62" t="str">
        <f>ورقة19!AE17</f>
        <v/>
      </c>
      <c r="AF17" s="59" t="str">
        <f>ورقة19!AF17</f>
        <v xml:space="preserve">1 م </v>
      </c>
      <c r="AG17" s="61" t="str">
        <f>ورقة19!AG17</f>
        <v>2 م أ</v>
      </c>
      <c r="AH17" s="61" t="str">
        <f>ورقة19!AH17</f>
        <v/>
      </c>
      <c r="AI17" s="61" t="str">
        <f>ورقة19!AI17</f>
        <v/>
      </c>
      <c r="AJ17" s="61" t="str">
        <f>ورقة19!AJ17</f>
        <v/>
      </c>
      <c r="AK17" s="61" t="str">
        <f>ورقة19!AK17</f>
        <v/>
      </c>
      <c r="AL17" s="61" t="str">
        <f>ورقة19!AL17</f>
        <v/>
      </c>
    </row>
    <row r="18" spans="2:38" x14ac:dyDescent="0.45">
      <c r="B18" s="59">
        <f t="shared" si="0"/>
        <v>15</v>
      </c>
      <c r="C18" s="57" t="str">
        <f>'النصاب الكامل'!B17</f>
        <v>أبو محمد</v>
      </c>
      <c r="D18" s="56" t="str">
        <f>ورقة19!D18</f>
        <v/>
      </c>
      <c r="E18" s="58" t="str">
        <f>ورقة19!E18</f>
        <v>2 م ب</v>
      </c>
      <c r="F18" s="58" t="str">
        <f>ورقة19!F18</f>
        <v/>
      </c>
      <c r="G18" s="58" t="str">
        <f>ورقة19!G18</f>
        <v>1 ث ب</v>
      </c>
      <c r="H18" s="58" t="str">
        <f>ورقة19!H18</f>
        <v>3 ث ب</v>
      </c>
      <c r="I18" s="58" t="str">
        <f>ورقة19!I18</f>
        <v/>
      </c>
      <c r="J18" s="58" t="str">
        <f>ورقة19!J18</f>
        <v/>
      </c>
      <c r="K18" s="56" t="str">
        <f>ورقة19!K18</f>
        <v>1 ث ب</v>
      </c>
      <c r="L18" s="58" t="str">
        <f>ورقة19!L18</f>
        <v/>
      </c>
      <c r="M18" s="58" t="str">
        <f>ورقة19!M18</f>
        <v/>
      </c>
      <c r="N18" s="58" t="str">
        <f>ورقة19!N18</f>
        <v/>
      </c>
      <c r="O18" s="58" t="str">
        <f>ورقة19!O18</f>
        <v/>
      </c>
      <c r="P18" s="58" t="str">
        <f>ورقة19!P18</f>
        <v/>
      </c>
      <c r="Q18" s="58" t="str">
        <f>ورقة19!Q18</f>
        <v/>
      </c>
      <c r="R18" s="56" t="str">
        <f>ورقة19!R18</f>
        <v/>
      </c>
      <c r="S18" s="58" t="str">
        <f>ورقة19!S18</f>
        <v>3 م ب</v>
      </c>
      <c r="T18" s="58" t="str">
        <f>ورقة19!T18</f>
        <v/>
      </c>
      <c r="U18" s="58" t="str">
        <f>ورقة19!U18</f>
        <v/>
      </c>
      <c r="V18" s="58" t="str">
        <f>ورقة19!V18</f>
        <v>3 ث ب</v>
      </c>
      <c r="W18" s="58" t="str">
        <f>ورقة19!W18</f>
        <v/>
      </c>
      <c r="X18" s="58" t="str">
        <f>ورقة19!X18</f>
        <v/>
      </c>
      <c r="Y18" s="56" t="str">
        <f>ورقة19!Y18</f>
        <v/>
      </c>
      <c r="Z18" s="58" t="str">
        <f>ورقة19!Z18</f>
        <v/>
      </c>
      <c r="AA18" s="58" t="str">
        <f>ورقة19!AA18</f>
        <v/>
      </c>
      <c r="AB18" s="58" t="str">
        <f>ورقة19!AB18</f>
        <v>3 م ب</v>
      </c>
      <c r="AC18" s="58" t="str">
        <f>ورقة19!AC18</f>
        <v>3 ث ب</v>
      </c>
      <c r="AD18" s="58" t="str">
        <f>ورقة19!AD18</f>
        <v/>
      </c>
      <c r="AE18" s="58" t="str">
        <f>ورقة19!AE18</f>
        <v/>
      </c>
      <c r="AF18" s="56" t="str">
        <f>ورقة19!AF18</f>
        <v/>
      </c>
      <c r="AG18" s="58" t="str">
        <f>ورقة19!AG18</f>
        <v>2 م ب</v>
      </c>
      <c r="AH18" s="58" t="str">
        <f>ورقة19!AH18</f>
        <v/>
      </c>
      <c r="AI18" s="58" t="str">
        <f>ورقة19!AI18</f>
        <v/>
      </c>
      <c r="AJ18" s="58" t="str">
        <f>ورقة19!AJ18</f>
        <v/>
      </c>
      <c r="AK18" s="58" t="str">
        <f>ورقة19!AK18</f>
        <v/>
      </c>
      <c r="AL18" s="58" t="str">
        <f>ورقة19!AL18</f>
        <v/>
      </c>
    </row>
    <row r="19" spans="2:38" x14ac:dyDescent="0.45">
      <c r="B19" s="59">
        <f t="shared" si="0"/>
        <v>16</v>
      </c>
      <c r="C19" s="60" t="str">
        <f>'النصاب الكامل'!B18</f>
        <v>ماهر</v>
      </c>
      <c r="D19" s="59" t="str">
        <f>ورقة19!D19</f>
        <v/>
      </c>
      <c r="E19" s="61" t="str">
        <f>ورقة19!E19</f>
        <v/>
      </c>
      <c r="F19" s="61" t="str">
        <f>ورقة19!F19</f>
        <v>3 ث أ</v>
      </c>
      <c r="G19" s="61" t="str">
        <f>ورقة19!G19</f>
        <v>3 ث ب</v>
      </c>
      <c r="H19" s="61" t="str">
        <f>ورقة19!H19</f>
        <v>2 م أ</v>
      </c>
      <c r="I19" s="61" t="str">
        <f>ورقة19!I19</f>
        <v xml:space="preserve">1 م </v>
      </c>
      <c r="J19" s="62" t="str">
        <f>ورقة19!J19</f>
        <v/>
      </c>
      <c r="K19" s="59" t="str">
        <f>ورقة19!K19</f>
        <v>2 م ب</v>
      </c>
      <c r="L19" s="61" t="str">
        <f>ورقة19!L19</f>
        <v>2 م أ</v>
      </c>
      <c r="M19" s="61" t="str">
        <f>ورقة19!M19</f>
        <v/>
      </c>
      <c r="N19" s="61" t="str">
        <f>ورقة19!N19</f>
        <v>1 ث أ</v>
      </c>
      <c r="O19" s="61" t="str">
        <f>ورقة19!O19</f>
        <v>1 ث ب</v>
      </c>
      <c r="P19" s="61" t="str">
        <f>ورقة19!P19</f>
        <v>3 م أ</v>
      </c>
      <c r="Q19" s="62" t="str">
        <f>ورقة19!Q19</f>
        <v/>
      </c>
      <c r="R19" s="59" t="str">
        <f>ورقة19!R19</f>
        <v/>
      </c>
      <c r="S19" s="61" t="str">
        <f>ورقة19!S19</f>
        <v xml:space="preserve">1 م </v>
      </c>
      <c r="T19" s="61" t="str">
        <f>ورقة19!T19</f>
        <v/>
      </c>
      <c r="U19" s="61" t="str">
        <f>ورقة19!U19</f>
        <v>3 ث أ</v>
      </c>
      <c r="V19" s="61" t="str">
        <f>ورقة19!V19</f>
        <v>3 م ب</v>
      </c>
      <c r="W19" s="61" t="str">
        <f>ورقة19!W19</f>
        <v>3 ث ب</v>
      </c>
      <c r="X19" s="62" t="str">
        <f>ورقة19!X19</f>
        <v/>
      </c>
      <c r="Y19" s="59" t="str">
        <f>ورقة19!Y19</f>
        <v>3 م ب</v>
      </c>
      <c r="Z19" s="61" t="str">
        <f>ورقة19!Z19</f>
        <v/>
      </c>
      <c r="AA19" s="61" t="str">
        <f>ورقة19!AA19</f>
        <v>3 م أ</v>
      </c>
      <c r="AB19" s="61" t="str">
        <f>ورقة19!AB19</f>
        <v>2 م ب</v>
      </c>
      <c r="AC19" s="61" t="str">
        <f>ورقة19!AC19</f>
        <v>1 ث أ</v>
      </c>
      <c r="AD19" s="61" t="str">
        <f>ورقة19!AD19</f>
        <v>1 ث ب</v>
      </c>
      <c r="AE19" s="62" t="str">
        <f>ورقة19!AE19</f>
        <v/>
      </c>
      <c r="AF19" s="59" t="str">
        <f>ورقة19!AF19</f>
        <v>1 ث ب</v>
      </c>
      <c r="AG19" s="61" t="str">
        <f>ورقة19!AG19</f>
        <v>1 ث أ</v>
      </c>
      <c r="AH19" s="61" t="str">
        <f>ورقة19!AH19</f>
        <v/>
      </c>
      <c r="AI19" s="61" t="str">
        <f>ورقة19!AI19</f>
        <v/>
      </c>
      <c r="AJ19" s="61" t="str">
        <f>ورقة19!AJ19</f>
        <v/>
      </c>
      <c r="AK19" s="61" t="str">
        <f>ورقة19!AK19</f>
        <v/>
      </c>
      <c r="AL19" s="61" t="str">
        <f>ورقة19!AL19</f>
        <v/>
      </c>
    </row>
    <row r="20" spans="2:38" x14ac:dyDescent="0.45">
      <c r="B20" s="59">
        <f t="shared" si="0"/>
        <v>17</v>
      </c>
      <c r="C20" s="57" t="str">
        <f>'النصاب الكامل'!B19</f>
        <v>محمد علي</v>
      </c>
      <c r="D20" s="56" t="str">
        <f>ورقة19!D20</f>
        <v/>
      </c>
      <c r="E20" s="58" t="str">
        <f>ورقة19!E20</f>
        <v/>
      </c>
      <c r="F20" s="58" t="str">
        <f>ورقة19!F20</f>
        <v/>
      </c>
      <c r="G20" s="58" t="str">
        <f>ورقة19!G20</f>
        <v/>
      </c>
      <c r="H20" s="58" t="str">
        <f>ورقة19!H20</f>
        <v/>
      </c>
      <c r="I20" s="58" t="str">
        <f>ورقة19!I20</f>
        <v/>
      </c>
      <c r="J20" s="58" t="str">
        <f>ورقة19!J20</f>
        <v/>
      </c>
      <c r="K20" s="56" t="str">
        <f>ورقة19!K20</f>
        <v/>
      </c>
      <c r="L20" s="58" t="str">
        <f>ورقة19!L20</f>
        <v/>
      </c>
      <c r="M20" s="58" t="str">
        <f>ورقة19!M20</f>
        <v/>
      </c>
      <c r="N20" s="58" t="str">
        <f>ورقة19!N20</f>
        <v/>
      </c>
      <c r="O20" s="58" t="str">
        <f>ورقة19!O20</f>
        <v/>
      </c>
      <c r="P20" s="58" t="str">
        <f>ورقة19!P20</f>
        <v/>
      </c>
      <c r="Q20" s="58" t="str">
        <f>ورقة19!Q20</f>
        <v/>
      </c>
      <c r="R20" s="56" t="str">
        <f>ورقة19!R20</f>
        <v/>
      </c>
      <c r="S20" s="58" t="str">
        <f>ورقة19!S20</f>
        <v/>
      </c>
      <c r="T20" s="58" t="str">
        <f>ورقة19!T20</f>
        <v/>
      </c>
      <c r="U20" s="58" t="str">
        <f>ورقة19!U20</f>
        <v/>
      </c>
      <c r="V20" s="58" t="str">
        <f>ورقة19!V20</f>
        <v/>
      </c>
      <c r="W20" s="58" t="str">
        <f>ورقة19!W20</f>
        <v/>
      </c>
      <c r="X20" s="58" t="str">
        <f>ورقة19!X20</f>
        <v/>
      </c>
      <c r="Y20" s="56" t="str">
        <f>ورقة19!Y20</f>
        <v/>
      </c>
      <c r="Z20" s="58" t="str">
        <f>ورقة19!Z20</f>
        <v/>
      </c>
      <c r="AA20" s="58" t="str">
        <f>ورقة19!AA20</f>
        <v/>
      </c>
      <c r="AB20" s="58" t="str">
        <f>ورقة19!AB20</f>
        <v/>
      </c>
      <c r="AC20" s="58" t="str">
        <f>ورقة19!AC20</f>
        <v/>
      </c>
      <c r="AD20" s="58" t="str">
        <f>ورقة19!AD20</f>
        <v/>
      </c>
      <c r="AE20" s="58" t="str">
        <f>ورقة19!AE20</f>
        <v/>
      </c>
      <c r="AF20" s="56" t="str">
        <f>ورقة19!AF20</f>
        <v/>
      </c>
      <c r="AG20" s="58" t="str">
        <f>ورقة19!AG20</f>
        <v/>
      </c>
      <c r="AH20" s="58" t="str">
        <f>ورقة19!AH20</f>
        <v/>
      </c>
      <c r="AI20" s="58" t="str">
        <f>ورقة19!AI20</f>
        <v/>
      </c>
      <c r="AJ20" s="58" t="str">
        <f>ورقة19!AJ20</f>
        <v/>
      </c>
      <c r="AK20" s="58" t="str">
        <f>ورقة19!AK20</f>
        <v/>
      </c>
      <c r="AL20" s="58" t="str">
        <f>ورقة19!AL20</f>
        <v/>
      </c>
    </row>
    <row r="21" spans="2:38" x14ac:dyDescent="0.45">
      <c r="B21" s="59">
        <f t="shared" si="0"/>
        <v>18</v>
      </c>
      <c r="C21" s="60" t="str">
        <f>'النصاب الكامل'!B20</f>
        <v>سالم يحيى</v>
      </c>
      <c r="D21" s="59" t="str">
        <f>ورقة19!D21</f>
        <v>2 ث ب</v>
      </c>
      <c r="E21" s="61" t="str">
        <f>ورقة19!E21</f>
        <v>2 ث أ</v>
      </c>
      <c r="F21" s="61" t="str">
        <f>ورقة19!F21</f>
        <v/>
      </c>
      <c r="G21" s="61" t="str">
        <f>ورقة19!G21</f>
        <v/>
      </c>
      <c r="H21" s="61" t="str">
        <f>ورقة19!H21</f>
        <v/>
      </c>
      <c r="I21" s="61" t="str">
        <f>ورقة19!I21</f>
        <v/>
      </c>
      <c r="J21" s="62" t="str">
        <f>ورقة19!J21</f>
        <v/>
      </c>
      <c r="K21" s="59" t="str">
        <f>ورقة19!K21</f>
        <v/>
      </c>
      <c r="L21" s="61" t="str">
        <f>ورقة19!L21</f>
        <v/>
      </c>
      <c r="M21" s="61" t="str">
        <f>ورقة19!M21</f>
        <v/>
      </c>
      <c r="N21" s="61" t="str">
        <f>ورقة19!N21</f>
        <v/>
      </c>
      <c r="O21" s="61" t="str">
        <f>ورقة19!O21</f>
        <v>2 ث ب</v>
      </c>
      <c r="P21" s="61" t="str">
        <f>ورقة19!P21</f>
        <v>1 ث ب</v>
      </c>
      <c r="Q21" s="62" t="str">
        <f>ورقة19!Q21</f>
        <v>1 ث أ</v>
      </c>
      <c r="R21" s="59" t="str">
        <f>ورقة19!R21</f>
        <v/>
      </c>
      <c r="S21" s="61" t="str">
        <f>ورقة19!S21</f>
        <v>1 ث أ</v>
      </c>
      <c r="T21" s="61" t="str">
        <f>ورقة19!T21</f>
        <v>1 ث أ</v>
      </c>
      <c r="U21" s="61" t="str">
        <f>ورقة19!U21</f>
        <v>1 ث ب</v>
      </c>
      <c r="V21" s="61" t="str">
        <f>ورقة19!V21</f>
        <v>2 ث ب</v>
      </c>
      <c r="W21" s="61" t="str">
        <f>ورقة19!W21</f>
        <v>2 ث أ</v>
      </c>
      <c r="X21" s="62" t="str">
        <f>ورقة19!X21</f>
        <v/>
      </c>
      <c r="Y21" s="59" t="str">
        <f>ورقة19!Y21</f>
        <v/>
      </c>
      <c r="Z21" s="61" t="str">
        <f>ورقة19!Z21</f>
        <v/>
      </c>
      <c r="AA21" s="61" t="str">
        <f>ورقة19!AA21</f>
        <v>1 ث أ</v>
      </c>
      <c r="AB21" s="61" t="str">
        <f>ورقة19!AB21</f>
        <v>1 ث ب</v>
      </c>
      <c r="AC21" s="61" t="str">
        <f>ورقة19!AC21</f>
        <v>2 ث أ</v>
      </c>
      <c r="AD21" s="61" t="str">
        <f>ورقة19!AD21</f>
        <v>2 ث ب</v>
      </c>
      <c r="AE21" s="62" t="str">
        <f>ورقة19!AE21</f>
        <v/>
      </c>
      <c r="AF21" s="59" t="str">
        <f>ورقة19!AF21</f>
        <v/>
      </c>
      <c r="AG21" s="61" t="str">
        <f>ورقة19!AG21</f>
        <v>2 ث أ</v>
      </c>
      <c r="AH21" s="61" t="str">
        <f>ورقة19!AH21</f>
        <v>1 ث ب</v>
      </c>
      <c r="AI21" s="61" t="str">
        <f>ورقة19!AI21</f>
        <v/>
      </c>
      <c r="AJ21" s="61" t="str">
        <f>ورقة19!AJ21</f>
        <v/>
      </c>
      <c r="AK21" s="61" t="str">
        <f>ورقة19!AK21</f>
        <v/>
      </c>
      <c r="AL21" s="61" t="str">
        <f>ورقة19!AL21</f>
        <v/>
      </c>
    </row>
    <row r="22" spans="2:38" x14ac:dyDescent="0.45">
      <c r="B22" s="59">
        <f t="shared" si="0"/>
        <v>19</v>
      </c>
      <c r="C22" s="57" t="str">
        <f>'النصاب الكامل'!B21</f>
        <v>محمود</v>
      </c>
      <c r="D22" s="56" t="str">
        <f>ورقة19!D22</f>
        <v/>
      </c>
      <c r="E22" s="58" t="str">
        <f>ورقة19!E22</f>
        <v>3 ث ب</v>
      </c>
      <c r="F22" s="58" t="str">
        <f>ورقة19!F22</f>
        <v/>
      </c>
      <c r="G22" s="58" t="str">
        <f>ورقة19!G22</f>
        <v/>
      </c>
      <c r="H22" s="58" t="str">
        <f>ورقة19!H22</f>
        <v/>
      </c>
      <c r="I22" s="58" t="str">
        <f>ورقة19!I22</f>
        <v/>
      </c>
      <c r="J22" s="58" t="str">
        <f>ورقة19!J22</f>
        <v>3 ث أ</v>
      </c>
      <c r="K22" s="56" t="str">
        <f>ورقة19!K22</f>
        <v>3 ث ب</v>
      </c>
      <c r="L22" s="58" t="str">
        <f>ورقة19!L22</f>
        <v/>
      </c>
      <c r="M22" s="58" t="str">
        <f>ورقة19!M22</f>
        <v>3 ث أ</v>
      </c>
      <c r="N22" s="58" t="str">
        <f>ورقة19!N22</f>
        <v/>
      </c>
      <c r="O22" s="58" t="str">
        <f>ورقة19!O22</f>
        <v/>
      </c>
      <c r="P22" s="58" t="str">
        <f>ورقة19!P22</f>
        <v/>
      </c>
      <c r="Q22" s="58" t="str">
        <f>ورقة19!Q22</f>
        <v/>
      </c>
      <c r="R22" s="56" t="str">
        <f>ورقة19!R22</f>
        <v>3 ث ب</v>
      </c>
      <c r="S22" s="58" t="str">
        <f>ورقة19!S22</f>
        <v/>
      </c>
      <c r="T22" s="58" t="str">
        <f>ورقة19!T22</f>
        <v/>
      </c>
      <c r="U22" s="58" t="str">
        <f>ورقة19!U22</f>
        <v/>
      </c>
      <c r="V22" s="58" t="str">
        <f>ورقة19!V22</f>
        <v/>
      </c>
      <c r="W22" s="58" t="str">
        <f>ورقة19!W22</f>
        <v/>
      </c>
      <c r="X22" s="58" t="str">
        <f>ورقة19!X22</f>
        <v/>
      </c>
      <c r="Y22" s="56" t="str">
        <f>ورقة19!Y22</f>
        <v/>
      </c>
      <c r="Z22" s="58" t="str">
        <f>ورقة19!Z22</f>
        <v>3 ث ب</v>
      </c>
      <c r="AA22" s="58" t="str">
        <f>ورقة19!AA22</f>
        <v>3 ث أ</v>
      </c>
      <c r="AB22" s="58" t="str">
        <f>ورقة19!AB22</f>
        <v/>
      </c>
      <c r="AC22" s="58" t="str">
        <f>ورقة19!AC22</f>
        <v/>
      </c>
      <c r="AD22" s="58" t="str">
        <f>ورقة19!AD22</f>
        <v/>
      </c>
      <c r="AE22" s="58" t="str">
        <f>ورقة19!AE22</f>
        <v/>
      </c>
      <c r="AF22" s="56" t="str">
        <f>ورقة19!AF22</f>
        <v/>
      </c>
      <c r="AG22" s="58" t="str">
        <f>ورقة19!AG22</f>
        <v/>
      </c>
      <c r="AH22" s="58" t="str">
        <f>ورقة19!AH22</f>
        <v>3 ث أ</v>
      </c>
      <c r="AI22" s="58" t="str">
        <f>ورقة19!AI22</f>
        <v>3 ث أ</v>
      </c>
      <c r="AJ22" s="58" t="str">
        <f>ورقة19!AJ22</f>
        <v/>
      </c>
      <c r="AK22" s="58" t="str">
        <f>ورقة19!AK22</f>
        <v>3 ث ب</v>
      </c>
      <c r="AL22" s="58" t="str">
        <f>ورقة19!AL22</f>
        <v/>
      </c>
    </row>
    <row r="23" spans="2:38" x14ac:dyDescent="0.45">
      <c r="B23" s="59">
        <f t="shared" si="0"/>
        <v>20</v>
      </c>
      <c r="C23" s="60" t="str">
        <f>'النصاب الكامل'!B22</f>
        <v>حسين سالم</v>
      </c>
      <c r="D23" s="59" t="str">
        <f>ورقة19!D23</f>
        <v>1 ث أ</v>
      </c>
      <c r="E23" s="61" t="str">
        <f>ورقة19!E23</f>
        <v>1 ث ب</v>
      </c>
      <c r="F23" s="61" t="str">
        <f>ورقة19!F23</f>
        <v/>
      </c>
      <c r="G23" s="61" t="str">
        <f>ورقة19!G23</f>
        <v/>
      </c>
      <c r="H23" s="61" t="str">
        <f>ورقة19!H23</f>
        <v/>
      </c>
      <c r="I23" s="61" t="str">
        <f>ورقة19!I23</f>
        <v/>
      </c>
      <c r="J23" s="62" t="str">
        <f>ورقة19!J23</f>
        <v/>
      </c>
      <c r="K23" s="59" t="str">
        <f>ورقة19!K23</f>
        <v/>
      </c>
      <c r="L23" s="61" t="str">
        <f>ورقة19!L23</f>
        <v/>
      </c>
      <c r="M23" s="61" t="str">
        <f>ورقة19!M23</f>
        <v>2 ث أ</v>
      </c>
      <c r="N23" s="61" t="str">
        <f>ورقة19!N23</f>
        <v/>
      </c>
      <c r="O23" s="61" t="str">
        <f>ورقة19!O23</f>
        <v>1 ث أ</v>
      </c>
      <c r="P23" s="61" t="str">
        <f>ورقة19!P23</f>
        <v>2 ث أ</v>
      </c>
      <c r="Q23" s="62" t="str">
        <f>ورقة19!Q23</f>
        <v>2 ث ب</v>
      </c>
      <c r="R23" s="59" t="str">
        <f>ورقة19!R23</f>
        <v>2 ث أ</v>
      </c>
      <c r="S23" s="61" t="str">
        <f>ورقة19!S23</f>
        <v>1 ث ب</v>
      </c>
      <c r="T23" s="61" t="str">
        <f>ورقة19!T23</f>
        <v>2 ث ب</v>
      </c>
      <c r="U23" s="61" t="str">
        <f>ورقة19!U23</f>
        <v/>
      </c>
      <c r="V23" s="61" t="str">
        <f>ورقة19!V23</f>
        <v/>
      </c>
      <c r="W23" s="61" t="str">
        <f>ورقة19!W23</f>
        <v/>
      </c>
      <c r="X23" s="62" t="str">
        <f>ورقة19!X23</f>
        <v/>
      </c>
      <c r="Y23" s="59" t="str">
        <f>ورقة19!Y23</f>
        <v/>
      </c>
      <c r="Z23" s="61" t="str">
        <f>ورقة19!Z23</f>
        <v>2 ث ب</v>
      </c>
      <c r="AA23" s="61" t="str">
        <f>ورقة19!AA23</f>
        <v>2 ث أ</v>
      </c>
      <c r="AB23" s="61" t="str">
        <f>ورقة19!AB23</f>
        <v/>
      </c>
      <c r="AC23" s="61" t="str">
        <f>ورقة19!AC23</f>
        <v/>
      </c>
      <c r="AD23" s="61" t="str">
        <f>ورقة19!AD23</f>
        <v/>
      </c>
      <c r="AE23" s="62" t="str">
        <f>ورقة19!AE23</f>
        <v/>
      </c>
      <c r="AF23" s="59" t="str">
        <f>ورقة19!AF23</f>
        <v>2 ث ب</v>
      </c>
      <c r="AG23" s="61" t="str">
        <f>ورقة19!AG23</f>
        <v/>
      </c>
      <c r="AH23" s="61" t="str">
        <f>ورقة19!AH23</f>
        <v>2 ث أ</v>
      </c>
      <c r="AI23" s="61" t="str">
        <f>ورقة19!AI23</f>
        <v>2 ث ب</v>
      </c>
      <c r="AJ23" s="61" t="str">
        <f>ورقة19!AJ23</f>
        <v>1 ث ب</v>
      </c>
      <c r="AK23" s="61" t="str">
        <f>ورقة19!AK23</f>
        <v>1 ث أ</v>
      </c>
      <c r="AL23" s="61" t="str">
        <f>ورقة19!AL23</f>
        <v/>
      </c>
    </row>
    <row r="24" spans="2:38" x14ac:dyDescent="0.45">
      <c r="B24" s="59">
        <f t="shared" si="0"/>
        <v>21</v>
      </c>
      <c r="C24" s="57" t="str">
        <f>'النصاب الكامل'!B23</f>
        <v>حسين الفيفيي</v>
      </c>
      <c r="D24" s="56" t="str">
        <f>ورقة19!D24</f>
        <v/>
      </c>
      <c r="E24" s="58" t="str">
        <f>ورقة19!E24</f>
        <v/>
      </c>
      <c r="F24" s="58" t="str">
        <f>ورقة19!F24</f>
        <v/>
      </c>
      <c r="G24" s="58" t="str">
        <f>ورقة19!G24</f>
        <v>2 م أ</v>
      </c>
      <c r="H24" s="58" t="str">
        <f>ورقة19!H24</f>
        <v/>
      </c>
      <c r="I24" s="58" t="str">
        <f>ورقة19!I24</f>
        <v>3 ث أ</v>
      </c>
      <c r="J24" s="58" t="str">
        <f>ورقة19!J24</f>
        <v>3 ث ب</v>
      </c>
      <c r="K24" s="56" t="str">
        <f>ورقة19!K24</f>
        <v/>
      </c>
      <c r="L24" s="58" t="str">
        <f>ورقة19!L24</f>
        <v>3 ث ب</v>
      </c>
      <c r="M24" s="58" t="str">
        <f>ورقة19!M24</f>
        <v>2 م ب</v>
      </c>
      <c r="N24" s="58" t="str">
        <f>ورقة19!N24</f>
        <v>3 ث أ</v>
      </c>
      <c r="O24" s="58" t="str">
        <f>ورقة19!O24</f>
        <v/>
      </c>
      <c r="P24" s="58" t="str">
        <f>ورقة19!P24</f>
        <v>2 م ب</v>
      </c>
      <c r="Q24" s="58" t="str">
        <f>ورقة19!Q24</f>
        <v>2 م ب</v>
      </c>
      <c r="R24" s="56" t="str">
        <f>ورقة19!R24</f>
        <v/>
      </c>
      <c r="S24" s="58" t="str">
        <f>ورقة19!S24</f>
        <v/>
      </c>
      <c r="T24" s="58" t="str">
        <f>ورقة19!T24</f>
        <v>2 م أ</v>
      </c>
      <c r="U24" s="58" t="str">
        <f>ورقة19!U24</f>
        <v/>
      </c>
      <c r="V24" s="58" t="str">
        <f>ورقة19!V24</f>
        <v/>
      </c>
      <c r="W24" s="58" t="str">
        <f>ورقة19!W24</f>
        <v/>
      </c>
      <c r="X24" s="58" t="str">
        <f>ورقة19!X24</f>
        <v/>
      </c>
      <c r="Y24" s="56" t="str">
        <f>ورقة19!Y24</f>
        <v/>
      </c>
      <c r="Z24" s="58" t="str">
        <f>ورقة19!Z24</f>
        <v/>
      </c>
      <c r="AA24" s="58" t="str">
        <f>ورقة19!AA24</f>
        <v>2 م ب</v>
      </c>
      <c r="AB24" s="58" t="str">
        <f>ورقة19!AB24</f>
        <v>3 ث أ</v>
      </c>
      <c r="AC24" s="58" t="str">
        <f>ورقة19!AC24</f>
        <v>2 م أ</v>
      </c>
      <c r="AD24" s="58" t="str">
        <f>ورقة19!AD24</f>
        <v>3 ث ب</v>
      </c>
      <c r="AE24" s="58" t="str">
        <f>ورقة19!AE24</f>
        <v/>
      </c>
      <c r="AF24" s="56" t="str">
        <f>ورقة19!AF24</f>
        <v>2 م أ</v>
      </c>
      <c r="AG24" s="58" t="str">
        <f>ورقة19!AG24</f>
        <v/>
      </c>
      <c r="AH24" s="58" t="str">
        <f>ورقة19!AH24</f>
        <v/>
      </c>
      <c r="AI24" s="58" t="str">
        <f>ورقة19!AI24</f>
        <v/>
      </c>
      <c r="AJ24" s="58" t="str">
        <f>ورقة19!AJ24</f>
        <v/>
      </c>
      <c r="AK24" s="58" t="str">
        <f>ورقة19!AK24</f>
        <v/>
      </c>
      <c r="AL24" s="58" t="str">
        <f>ورقة19!AL24</f>
        <v/>
      </c>
    </row>
    <row r="25" spans="2:38" x14ac:dyDescent="0.45">
      <c r="B25" s="59">
        <f t="shared" si="0"/>
        <v>22</v>
      </c>
      <c r="C25" s="60" t="str">
        <f>'النصاب الكامل'!B24</f>
        <v>ابراهيم</v>
      </c>
      <c r="D25" s="59" t="str">
        <f>ورقة19!D25</f>
        <v>3 ث ب</v>
      </c>
      <c r="E25" s="61" t="str">
        <f>ورقة19!E25</f>
        <v/>
      </c>
      <c r="F25" s="61" t="str">
        <f>ورقة19!F25</f>
        <v/>
      </c>
      <c r="G25" s="61" t="str">
        <f>ورقة19!G25</f>
        <v/>
      </c>
      <c r="H25" s="61" t="str">
        <f>ورقة19!H25</f>
        <v/>
      </c>
      <c r="I25" s="61" t="str">
        <f>ورقة19!I25</f>
        <v/>
      </c>
      <c r="J25" s="62" t="str">
        <f>ورقة19!J25</f>
        <v xml:space="preserve">1 م </v>
      </c>
      <c r="K25" s="59" t="str">
        <f>ورقة19!K25</f>
        <v/>
      </c>
      <c r="L25" s="61" t="str">
        <f>ورقة19!L25</f>
        <v>3 ث أ</v>
      </c>
      <c r="M25" s="61" t="str">
        <f>ورقة19!M25</f>
        <v>3 ث ب</v>
      </c>
      <c r="N25" s="61" t="str">
        <f>ورقة19!N25</f>
        <v xml:space="preserve">1 م </v>
      </c>
      <c r="O25" s="61" t="str">
        <f>ورقة19!O25</f>
        <v xml:space="preserve">1 م </v>
      </c>
      <c r="P25" s="61" t="str">
        <f>ورقة19!P25</f>
        <v/>
      </c>
      <c r="Q25" s="62" t="str">
        <f>ورقة19!Q25</f>
        <v>3 ث أ</v>
      </c>
      <c r="R25" s="59" t="str">
        <f>ورقة19!R25</f>
        <v/>
      </c>
      <c r="S25" s="61" t="str">
        <f>ورقة19!S25</f>
        <v/>
      </c>
      <c r="T25" s="61" t="str">
        <f>ورقة19!T25</f>
        <v/>
      </c>
      <c r="U25" s="61" t="str">
        <f>ورقة19!U25</f>
        <v/>
      </c>
      <c r="V25" s="61" t="str">
        <f>ورقة19!V25</f>
        <v xml:space="preserve">1 م </v>
      </c>
      <c r="W25" s="61" t="str">
        <f>ورقة19!W25</f>
        <v>3 ث أ</v>
      </c>
      <c r="X25" s="62" t="str">
        <f>ورقة19!X25</f>
        <v/>
      </c>
      <c r="Y25" s="59" t="str">
        <f>ورقة19!Y25</f>
        <v/>
      </c>
      <c r="Z25" s="61" t="str">
        <f>ورقة19!Z25</f>
        <v/>
      </c>
      <c r="AA25" s="61" t="str">
        <f>ورقة19!AA25</f>
        <v>3 ث ب</v>
      </c>
      <c r="AB25" s="61" t="str">
        <f>ورقة19!AB25</f>
        <v/>
      </c>
      <c r="AC25" s="61" t="str">
        <f>ورقة19!AC25</f>
        <v/>
      </c>
      <c r="AD25" s="61" t="str">
        <f>ورقة19!AD25</f>
        <v xml:space="preserve">1 م </v>
      </c>
      <c r="AE25" s="62" t="str">
        <f>ورقة19!AE25</f>
        <v xml:space="preserve">1 م </v>
      </c>
      <c r="AF25" s="59" t="str">
        <f>ورقة19!AF25</f>
        <v>3 ث ب</v>
      </c>
      <c r="AG25" s="61" t="str">
        <f>ورقة19!AG25</f>
        <v>3 ث أ</v>
      </c>
      <c r="AH25" s="61" t="str">
        <f>ورقة19!AH25</f>
        <v/>
      </c>
      <c r="AI25" s="61" t="str">
        <f>ورقة19!AI25</f>
        <v/>
      </c>
      <c r="AJ25" s="61" t="str">
        <f>ورقة19!AJ25</f>
        <v/>
      </c>
      <c r="AK25" s="61" t="str">
        <f>ورقة19!AK25</f>
        <v/>
      </c>
      <c r="AL25" s="61" t="str">
        <f>ورقة19!AL25</f>
        <v/>
      </c>
    </row>
    <row r="26" spans="2:38" x14ac:dyDescent="0.45">
      <c r="B26" s="59">
        <f t="shared" si="0"/>
        <v>23</v>
      </c>
      <c r="C26" s="57" t="str">
        <f>'النصاب الكامل'!B25</f>
        <v>سلمان محيي</v>
      </c>
      <c r="D26" s="56" t="str">
        <f>ورقة19!D26</f>
        <v>1 ث ب</v>
      </c>
      <c r="E26" s="58" t="str">
        <f>ورقة19!E26</f>
        <v>2 ث ب</v>
      </c>
      <c r="F26" s="58" t="str">
        <f>ورقة19!F26</f>
        <v/>
      </c>
      <c r="G26" s="58" t="str">
        <f>ورقة19!G26</f>
        <v/>
      </c>
      <c r="H26" s="58" t="str">
        <f>ورقة19!H26</f>
        <v/>
      </c>
      <c r="I26" s="58" t="str">
        <f>ورقة19!I26</f>
        <v/>
      </c>
      <c r="J26" s="58" t="str">
        <f>ورقة19!J26</f>
        <v/>
      </c>
      <c r="K26" s="56" t="str">
        <f>ورقة19!K26</f>
        <v/>
      </c>
      <c r="L26" s="58" t="str">
        <f>ورقة19!L26</f>
        <v/>
      </c>
      <c r="M26" s="58" t="str">
        <f>ورقة19!M26</f>
        <v>1 ث أ</v>
      </c>
      <c r="N26" s="58" t="str">
        <f>ورقة19!N26</f>
        <v>2 ث أ</v>
      </c>
      <c r="O26" s="58" t="str">
        <f>ورقة19!O26</f>
        <v/>
      </c>
      <c r="P26" s="58" t="str">
        <f>ورقة19!P26</f>
        <v/>
      </c>
      <c r="Q26" s="58" t="str">
        <f>ورقة19!Q26</f>
        <v>1 ث ب</v>
      </c>
      <c r="R26" s="56" t="str">
        <f>ورقة19!R26</f>
        <v>1 ث أ</v>
      </c>
      <c r="S26" s="58" t="str">
        <f>ورقة19!S26</f>
        <v/>
      </c>
      <c r="T26" s="58" t="str">
        <f>ورقة19!T26</f>
        <v/>
      </c>
      <c r="U26" s="58" t="str">
        <f>ورقة19!U26</f>
        <v>2 ث أ</v>
      </c>
      <c r="V26" s="58" t="str">
        <f>ورقة19!V26</f>
        <v/>
      </c>
      <c r="W26" s="58" t="str">
        <f>ورقة19!W26</f>
        <v>2 ث ب</v>
      </c>
      <c r="X26" s="58" t="str">
        <f>ورقة19!X26</f>
        <v/>
      </c>
      <c r="Y26" s="56" t="str">
        <f>ورقة19!Y26</f>
        <v>2 ث أ</v>
      </c>
      <c r="Z26" s="58" t="str">
        <f>ورقة19!Z26</f>
        <v>1 ث أ</v>
      </c>
      <c r="AA26" s="58" t="str">
        <f>ورقة19!AA26</f>
        <v>2 ث ب</v>
      </c>
      <c r="AB26" s="58" t="str">
        <f>ورقة19!AB26</f>
        <v/>
      </c>
      <c r="AC26" s="58" t="str">
        <f>ورقة19!AC26</f>
        <v/>
      </c>
      <c r="AD26" s="58" t="str">
        <f>ورقة19!AD26</f>
        <v/>
      </c>
      <c r="AE26" s="58" t="str">
        <f>ورقة19!AE26</f>
        <v/>
      </c>
      <c r="AF26" s="56" t="str">
        <f>ورقة19!AF26</f>
        <v/>
      </c>
      <c r="AG26" s="58" t="str">
        <f>ورقة19!AG26</f>
        <v/>
      </c>
      <c r="AH26" s="58" t="str">
        <f>ورقة19!AH26</f>
        <v>2 ث ب</v>
      </c>
      <c r="AI26" s="58" t="str">
        <f>ورقة19!AI26</f>
        <v>1 ث ب</v>
      </c>
      <c r="AJ26" s="58" t="str">
        <f>ورقة19!AJ26</f>
        <v/>
      </c>
      <c r="AK26" s="58" t="str">
        <f>ورقة19!AK26</f>
        <v>2 ث أ</v>
      </c>
      <c r="AL26" s="58" t="str">
        <f>ورقة19!AL26</f>
        <v/>
      </c>
    </row>
    <row r="27" spans="2:38" x14ac:dyDescent="0.45">
      <c r="B27" s="59">
        <f t="shared" si="0"/>
        <v>24</v>
      </c>
      <c r="C27" s="60" t="str">
        <f>'النصاب الكامل'!B26</f>
        <v>حسين العمري</v>
      </c>
      <c r="D27" s="59" t="str">
        <f>ورقة19!D27</f>
        <v/>
      </c>
      <c r="E27" s="61" t="str">
        <f>ورقة19!E27</f>
        <v>3 ث أ</v>
      </c>
      <c r="F27" s="61" t="str">
        <f>ورقة19!F27</f>
        <v/>
      </c>
      <c r="G27" s="61" t="str">
        <f>ورقة19!G27</f>
        <v xml:space="preserve">1 م </v>
      </c>
      <c r="H27" s="61" t="str">
        <f>ورقة19!H27</f>
        <v xml:space="preserve">1 م </v>
      </c>
      <c r="I27" s="61" t="str">
        <f>ورقة19!I27</f>
        <v>3 ث ب</v>
      </c>
      <c r="J27" s="62" t="str">
        <f>ورقة19!J27</f>
        <v/>
      </c>
      <c r="K27" s="59" t="str">
        <f>ورقة19!K27</f>
        <v/>
      </c>
      <c r="L27" s="61" t="str">
        <f>ورقة19!L27</f>
        <v xml:space="preserve">1 م </v>
      </c>
      <c r="M27" s="61" t="str">
        <f>ورقة19!M27</f>
        <v/>
      </c>
      <c r="N27" s="61" t="str">
        <f>ورقة19!N27</f>
        <v>3 ث ب</v>
      </c>
      <c r="O27" s="61" t="str">
        <f>ورقة19!O27</f>
        <v>3 ث ب</v>
      </c>
      <c r="P27" s="61" t="str">
        <f>ورقة19!P27</f>
        <v>3 ث أ</v>
      </c>
      <c r="Q27" s="62" t="str">
        <f>ورقة19!Q27</f>
        <v/>
      </c>
      <c r="R27" s="59" t="str">
        <f>ورقة19!R27</f>
        <v/>
      </c>
      <c r="S27" s="61" t="str">
        <f>ورقة19!S27</f>
        <v/>
      </c>
      <c r="T27" s="61" t="str">
        <f>ورقة19!T27</f>
        <v>3 ث أ</v>
      </c>
      <c r="U27" s="61" t="str">
        <f>ورقة19!U27</f>
        <v>3 ث ب</v>
      </c>
      <c r="V27" s="61" t="str">
        <f>ورقة19!V27</f>
        <v/>
      </c>
      <c r="W27" s="61" t="str">
        <f>ورقة19!W27</f>
        <v xml:space="preserve">1 م </v>
      </c>
      <c r="X27" s="62" t="str">
        <f>ورقة19!X27</f>
        <v/>
      </c>
      <c r="Y27" s="59" t="str">
        <f>ورقة19!Y27</f>
        <v>3 ث أ</v>
      </c>
      <c r="Z27" s="61" t="str">
        <f>ورقة19!Z27</f>
        <v/>
      </c>
      <c r="AA27" s="61" t="str">
        <f>ورقة19!AA27</f>
        <v/>
      </c>
      <c r="AB27" s="61" t="str">
        <f>ورقة19!AB27</f>
        <v/>
      </c>
      <c r="AC27" s="61" t="str">
        <f>ورقة19!AC27</f>
        <v/>
      </c>
      <c r="AD27" s="61" t="str">
        <f>ورقة19!AD27</f>
        <v/>
      </c>
      <c r="AE27" s="62" t="str">
        <f>ورقة19!AE27</f>
        <v/>
      </c>
      <c r="AF27" s="59" t="str">
        <f>ورقة19!AF27</f>
        <v>3 ث أ</v>
      </c>
      <c r="AG27" s="61" t="str">
        <f>ورقة19!AG27</f>
        <v>3 ث ب</v>
      </c>
      <c r="AH27" s="61" t="str">
        <f>ورقة19!AH27</f>
        <v/>
      </c>
      <c r="AI27" s="61" t="str">
        <f>ورقة19!AI27</f>
        <v/>
      </c>
      <c r="AJ27" s="61" t="str">
        <f>ورقة19!AJ27</f>
        <v/>
      </c>
      <c r="AK27" s="61" t="str">
        <f>ورقة19!AK27</f>
        <v/>
      </c>
      <c r="AL27" s="61" t="str">
        <f>ورقة19!AL27</f>
        <v/>
      </c>
    </row>
    <row r="28" spans="2:38" x14ac:dyDescent="0.45">
      <c r="B28" s="59">
        <f t="shared" si="0"/>
        <v>25</v>
      </c>
      <c r="C28" s="57" t="str">
        <f>'النصاب الكامل'!B27</f>
        <v>حسن جبار</v>
      </c>
      <c r="D28" s="56" t="str">
        <f>ورقة19!D28</f>
        <v/>
      </c>
      <c r="E28" s="58" t="str">
        <f>ورقة19!E28</f>
        <v/>
      </c>
      <c r="F28" s="58" t="str">
        <f>ورقة19!F28</f>
        <v>2 م أ</v>
      </c>
      <c r="G28" s="58" t="str">
        <f>ورقة19!G28</f>
        <v>2 ث أ</v>
      </c>
      <c r="H28" s="58" t="str">
        <f>ورقة19!H28</f>
        <v>2 م ب</v>
      </c>
      <c r="I28" s="58" t="str">
        <f>ورقة19!I28</f>
        <v>2 ث ب</v>
      </c>
      <c r="J28" s="58" t="str">
        <f>ورقة19!J28</f>
        <v>2 م أ</v>
      </c>
      <c r="K28" s="56" t="str">
        <f>ورقة19!K28</f>
        <v>2 ث ب</v>
      </c>
      <c r="L28" s="58" t="str">
        <f>ورقة19!L28</f>
        <v>2 ث أ</v>
      </c>
      <c r="M28" s="58" t="str">
        <f>ورقة19!M28</f>
        <v/>
      </c>
      <c r="N28" s="58" t="str">
        <f>ورقة19!N28</f>
        <v/>
      </c>
      <c r="O28" s="58" t="str">
        <f>ورقة19!O28</f>
        <v/>
      </c>
      <c r="P28" s="58" t="str">
        <f>ورقة19!P28</f>
        <v/>
      </c>
      <c r="Q28" s="58" t="str">
        <f>ورقة19!Q28</f>
        <v/>
      </c>
      <c r="R28" s="56" t="str">
        <f>ورقة19!R28</f>
        <v/>
      </c>
      <c r="S28" s="58" t="str">
        <f>ورقة19!S28</f>
        <v>2 ث ب</v>
      </c>
      <c r="T28" s="58" t="str">
        <f>ورقة19!T28</f>
        <v>2 ث أ</v>
      </c>
      <c r="U28" s="58" t="str">
        <f>ورقة19!U28</f>
        <v>2 م أ</v>
      </c>
      <c r="V28" s="58" t="str">
        <f>ورقة19!V28</f>
        <v>2 م ب</v>
      </c>
      <c r="W28" s="58" t="str">
        <f>ورقة19!W28</f>
        <v>2 م ب</v>
      </c>
      <c r="X28" s="58" t="str">
        <f>ورقة19!X28</f>
        <v/>
      </c>
      <c r="Y28" s="56" t="str">
        <f>ورقة19!Y28</f>
        <v/>
      </c>
      <c r="Z28" s="58" t="str">
        <f>ورقة19!Z28</f>
        <v>2 م ب</v>
      </c>
      <c r="AA28" s="58" t="str">
        <f>ورقة19!AA28</f>
        <v>2 م أ</v>
      </c>
      <c r="AB28" s="58" t="str">
        <f>ورقة19!AB28</f>
        <v>2 ث أ</v>
      </c>
      <c r="AC28" s="58" t="str">
        <f>ورقة19!AC28</f>
        <v>2 ث ب</v>
      </c>
      <c r="AD28" s="58" t="str">
        <f>ورقة19!AD28</f>
        <v/>
      </c>
      <c r="AE28" s="58" t="str">
        <f>ورقة19!AE28</f>
        <v/>
      </c>
      <c r="AF28" s="56" t="str">
        <f>ورقة19!AF28</f>
        <v>2 ث أ</v>
      </c>
      <c r="AG28" s="58" t="str">
        <f>ورقة19!AG28</f>
        <v>2 ث ب</v>
      </c>
      <c r="AH28" s="58" t="str">
        <f>ورقة19!AH28</f>
        <v/>
      </c>
      <c r="AI28" s="58" t="str">
        <f>ورقة19!AI28</f>
        <v/>
      </c>
      <c r="AJ28" s="58" t="str">
        <f>ورقة19!AJ28</f>
        <v/>
      </c>
      <c r="AK28" s="58" t="str">
        <f>ورقة19!AK28</f>
        <v/>
      </c>
      <c r="AL28" s="58" t="str">
        <f>ورقة19!AL28</f>
        <v/>
      </c>
    </row>
    <row r="29" spans="2:38" x14ac:dyDescent="0.45">
      <c r="B29" s="59">
        <f t="shared" si="0"/>
        <v>26</v>
      </c>
      <c r="C29" s="60" t="str">
        <f>'النصاب الكامل'!B28</f>
        <v>موسى</v>
      </c>
      <c r="D29" s="59" t="str">
        <f>ورقة19!D29</f>
        <v>2 ث أ</v>
      </c>
      <c r="E29" s="61" t="str">
        <f>ورقة19!E29</f>
        <v/>
      </c>
      <c r="F29" s="61" t="str">
        <f>ورقة19!F29</f>
        <v>2 ث ب</v>
      </c>
      <c r="G29" s="61" t="str">
        <f>ورقة19!G29</f>
        <v/>
      </c>
      <c r="H29" s="61" t="str">
        <f>ورقة19!H29</f>
        <v/>
      </c>
      <c r="I29" s="61" t="str">
        <f>ورقة19!I29</f>
        <v/>
      </c>
      <c r="J29" s="62" t="str">
        <f>ورقة19!J29</f>
        <v/>
      </c>
      <c r="K29" s="59" t="str">
        <f>ورقة19!K29</f>
        <v>2 ث أ</v>
      </c>
      <c r="L29" s="61" t="str">
        <f>ورقة19!L29</f>
        <v>2 ث ب</v>
      </c>
      <c r="M29" s="61" t="str">
        <f>ورقة19!M29</f>
        <v>3 م ب</v>
      </c>
      <c r="N29" s="61" t="str">
        <f>ورقة19!N29</f>
        <v>3 م أ</v>
      </c>
      <c r="O29" s="61" t="str">
        <f>ورقة19!O29</f>
        <v/>
      </c>
      <c r="P29" s="61" t="str">
        <f>ورقة19!P29</f>
        <v/>
      </c>
      <c r="Q29" s="62" t="str">
        <f>ورقة19!Q29</f>
        <v>3 م ب</v>
      </c>
      <c r="R29" s="59" t="str">
        <f>ورقة19!R29</f>
        <v/>
      </c>
      <c r="S29" s="61" t="str">
        <f>ورقة19!S29</f>
        <v/>
      </c>
      <c r="T29" s="61" t="str">
        <f>ورقة19!T29</f>
        <v/>
      </c>
      <c r="U29" s="61" t="str">
        <f>ورقة19!U29</f>
        <v>3 م ب</v>
      </c>
      <c r="V29" s="61" t="str">
        <f>ورقة19!V29</f>
        <v>3 م أ</v>
      </c>
      <c r="W29" s="61" t="str">
        <f>ورقة19!W29</f>
        <v/>
      </c>
      <c r="X29" s="62" t="str">
        <f>ورقة19!X29</f>
        <v/>
      </c>
      <c r="Y29" s="59" t="str">
        <f>ورقة19!Y29</f>
        <v/>
      </c>
      <c r="Z29" s="61" t="str">
        <f>ورقة19!Z29</f>
        <v/>
      </c>
      <c r="AA29" s="61" t="str">
        <f>ورقة19!AA29</f>
        <v>3 م ب</v>
      </c>
      <c r="AB29" s="61" t="str">
        <f>ورقة19!AB29</f>
        <v/>
      </c>
      <c r="AC29" s="61" t="str">
        <f>ورقة19!AC29</f>
        <v/>
      </c>
      <c r="AD29" s="61" t="str">
        <f>ورقة19!AD29</f>
        <v/>
      </c>
      <c r="AE29" s="62" t="str">
        <f>ورقة19!AE29</f>
        <v>3 م أ</v>
      </c>
      <c r="AF29" s="59" t="str">
        <f>ورقة19!AF29</f>
        <v/>
      </c>
      <c r="AG29" s="61" t="str">
        <f>ورقة19!AG29</f>
        <v>3 م أ</v>
      </c>
      <c r="AH29" s="61" t="str">
        <f>ورقة19!AH29</f>
        <v/>
      </c>
      <c r="AI29" s="61" t="str">
        <f>ورقة19!AI29</f>
        <v/>
      </c>
      <c r="AJ29" s="61" t="str">
        <f>ورقة19!AJ29</f>
        <v/>
      </c>
      <c r="AK29" s="61" t="str">
        <f>ورقة19!AK29</f>
        <v/>
      </c>
      <c r="AL29" s="61" t="str">
        <f>ورقة19!AL29</f>
        <v/>
      </c>
    </row>
    <row r="30" spans="2:38" x14ac:dyDescent="0.45">
      <c r="B30" s="59">
        <f t="shared" si="0"/>
        <v>27</v>
      </c>
      <c r="C30" s="57" t="str">
        <f>'النصاب الكامل'!B29</f>
        <v>مهدي</v>
      </c>
      <c r="D30" s="56" t="str">
        <f>ورقة19!D30</f>
        <v>3 م أ</v>
      </c>
      <c r="E30" s="58" t="str">
        <f>ورقة19!E30</f>
        <v>3 م ب</v>
      </c>
      <c r="F30" s="58" t="str">
        <f>ورقة19!F30</f>
        <v>2 ث أ</v>
      </c>
      <c r="G30" s="58" t="str">
        <f>ورقة19!G30</f>
        <v>2 ث ب</v>
      </c>
      <c r="H30" s="58" t="str">
        <f>ورقة19!H30</f>
        <v/>
      </c>
      <c r="I30" s="58" t="str">
        <f>ورقة19!I30</f>
        <v/>
      </c>
      <c r="J30" s="58" t="str">
        <f>ورقة19!J30</f>
        <v/>
      </c>
      <c r="K30" s="56" t="str">
        <f>ورقة19!K30</f>
        <v/>
      </c>
      <c r="L30" s="58" t="str">
        <f>ورقة19!L30</f>
        <v/>
      </c>
      <c r="M30" s="58" t="str">
        <f>ورقة19!M30</f>
        <v/>
      </c>
      <c r="N30" s="58" t="str">
        <f>ورقة19!N30</f>
        <v>2 ث ب</v>
      </c>
      <c r="O30" s="58" t="str">
        <f>ورقة19!O30</f>
        <v>2 ث أ</v>
      </c>
      <c r="P30" s="58" t="str">
        <f>ورقة19!P30</f>
        <v/>
      </c>
      <c r="Q30" s="58" t="str">
        <f>ورقة19!Q30</f>
        <v/>
      </c>
      <c r="R30" s="56" t="str">
        <f>ورقة19!R30</f>
        <v/>
      </c>
      <c r="S30" s="58" t="str">
        <f>ورقة19!S30</f>
        <v/>
      </c>
      <c r="T30" s="58" t="str">
        <f>ورقة19!T30</f>
        <v/>
      </c>
      <c r="U30" s="58" t="str">
        <f>ورقة19!U30</f>
        <v>2 ث ب</v>
      </c>
      <c r="V30" s="58" t="str">
        <f>ورقة19!V30</f>
        <v>2 ث أ</v>
      </c>
      <c r="W30" s="58" t="str">
        <f>ورقة19!W30</f>
        <v/>
      </c>
      <c r="X30" s="58" t="str">
        <f>ورقة19!X30</f>
        <v/>
      </c>
      <c r="Y30" s="56" t="str">
        <f>ورقة19!Y30</f>
        <v/>
      </c>
      <c r="Z30" s="58" t="str">
        <f>ورقة19!Z30</f>
        <v/>
      </c>
      <c r="AA30" s="58" t="str">
        <f>ورقة19!AA30</f>
        <v/>
      </c>
      <c r="AB30" s="58" t="str">
        <f>ورقة19!AB30</f>
        <v/>
      </c>
      <c r="AC30" s="58" t="str">
        <f>ورقة19!AC30</f>
        <v>3 م أ</v>
      </c>
      <c r="AD30" s="58" t="str">
        <f>ورقة19!AD30</f>
        <v/>
      </c>
      <c r="AE30" s="58" t="str">
        <f>ورقة19!AE30</f>
        <v/>
      </c>
      <c r="AF30" s="56" t="str">
        <f>ورقة19!AF30</f>
        <v/>
      </c>
      <c r="AG30" s="58" t="str">
        <f>ورقة19!AG30</f>
        <v>3 م ب</v>
      </c>
      <c r="AH30" s="58" t="str">
        <f>ورقة19!AH30</f>
        <v/>
      </c>
      <c r="AI30" s="58" t="str">
        <f>ورقة19!AI30</f>
        <v/>
      </c>
      <c r="AJ30" s="58" t="str">
        <f>ورقة19!AJ30</f>
        <v/>
      </c>
      <c r="AK30" s="58" t="str">
        <f>ورقة19!AK30</f>
        <v/>
      </c>
      <c r="AL30" s="58" t="str">
        <f>ورقة19!AL30</f>
        <v/>
      </c>
    </row>
    <row r="31" spans="2:38" x14ac:dyDescent="0.45">
      <c r="B31" s="59">
        <f t="shared" si="0"/>
        <v>28</v>
      </c>
      <c r="C31" s="60" t="str">
        <f>'النصاب الكامل'!B30</f>
        <v>ناصر</v>
      </c>
      <c r="D31" s="59" t="str">
        <f>ورقة19!D31</f>
        <v/>
      </c>
      <c r="E31" s="61" t="str">
        <f>ورقة19!E31</f>
        <v/>
      </c>
      <c r="F31" s="61" t="str">
        <f>ورقة19!F31</f>
        <v>3 م ب</v>
      </c>
      <c r="G31" s="61" t="str">
        <f>ورقة19!G31</f>
        <v>3 م ب</v>
      </c>
      <c r="H31" s="61" t="str">
        <f>ورقة19!H31</f>
        <v>2 ث أ</v>
      </c>
      <c r="I31" s="61" t="str">
        <f>ورقة19!I31</f>
        <v/>
      </c>
      <c r="J31" s="62" t="str">
        <f>ورقة19!J31</f>
        <v>2 ث ب</v>
      </c>
      <c r="K31" s="59" t="str">
        <f>ورقة19!K31</f>
        <v/>
      </c>
      <c r="L31" s="61" t="str">
        <f>ورقة19!L31</f>
        <v>3 م ب</v>
      </c>
      <c r="M31" s="61" t="str">
        <f>ورقة19!M31</f>
        <v/>
      </c>
      <c r="N31" s="61" t="str">
        <f>ورقة19!N31</f>
        <v/>
      </c>
      <c r="O31" s="61" t="str">
        <f>ورقة19!O31</f>
        <v/>
      </c>
      <c r="P31" s="61" t="str">
        <f>ورقة19!P31</f>
        <v>2 ث ب</v>
      </c>
      <c r="Q31" s="62" t="str">
        <f>ورقة19!Q31</f>
        <v>2 ث أ</v>
      </c>
      <c r="R31" s="59" t="str">
        <f>ورقة19!R31</f>
        <v>2 ث ب</v>
      </c>
      <c r="S31" s="61" t="str">
        <f>ورقة19!S31</f>
        <v>2 ث أ</v>
      </c>
      <c r="T31" s="61" t="str">
        <f>ورقة19!T31</f>
        <v>3 م ب</v>
      </c>
      <c r="U31" s="61" t="str">
        <f>ورقة19!U31</f>
        <v/>
      </c>
      <c r="V31" s="61" t="str">
        <f>ورقة19!V31</f>
        <v/>
      </c>
      <c r="W31" s="61" t="str">
        <f>ورقة19!W31</f>
        <v/>
      </c>
      <c r="X31" s="62" t="str">
        <f>ورقة19!X31</f>
        <v/>
      </c>
      <c r="Y31" s="59" t="str">
        <f>ورقة19!Y31</f>
        <v>2 ث ب</v>
      </c>
      <c r="Z31" s="61" t="str">
        <f>ورقة19!Z31</f>
        <v>2 ث أ</v>
      </c>
      <c r="AA31" s="61" t="str">
        <f>ورقة19!AA31</f>
        <v/>
      </c>
      <c r="AB31" s="61" t="str">
        <f>ورقة19!AB31</f>
        <v/>
      </c>
      <c r="AC31" s="61" t="str">
        <f>ورقة19!AC31</f>
        <v/>
      </c>
      <c r="AD31" s="61" t="str">
        <f>ورقة19!AD31</f>
        <v/>
      </c>
      <c r="AE31" s="62" t="str">
        <f>ورقة19!AE31</f>
        <v/>
      </c>
      <c r="AF31" s="59" t="str">
        <f>ورقة19!AF31</f>
        <v/>
      </c>
      <c r="AG31" s="61" t="str">
        <f>ورقة19!AG31</f>
        <v/>
      </c>
      <c r="AH31" s="61" t="str">
        <f>ورقة19!AH31</f>
        <v/>
      </c>
      <c r="AI31" s="61" t="str">
        <f>ورقة19!AI31</f>
        <v>2 ث أ</v>
      </c>
      <c r="AJ31" s="61" t="str">
        <f>ورقة19!AJ31</f>
        <v>2 ث ب</v>
      </c>
      <c r="AK31" s="61" t="str">
        <f>ورقة19!AK31</f>
        <v>3 م ب</v>
      </c>
      <c r="AL31" s="61" t="str">
        <f>ورقة19!AL31</f>
        <v>3 م ب</v>
      </c>
    </row>
    <row r="32" spans="2:38" x14ac:dyDescent="0.45">
      <c r="B32" s="59">
        <f>B31+1</f>
        <v>29</v>
      </c>
      <c r="C32" s="57" t="str">
        <f>'النصاب الكامل'!B31</f>
        <v>خالد الخالدي</v>
      </c>
      <c r="D32" s="56" t="str">
        <f>ورقة19!D32</f>
        <v>3 ث أ</v>
      </c>
      <c r="E32" s="58" t="str">
        <f>ورقة19!E32</f>
        <v/>
      </c>
      <c r="F32" s="58" t="str">
        <f>ورقة19!F32</f>
        <v>3 ث ب</v>
      </c>
      <c r="G32" s="58" t="str">
        <f>ورقة19!G32</f>
        <v>3 ث أ</v>
      </c>
      <c r="H32" s="58" t="str">
        <f>ورقة19!H32</f>
        <v/>
      </c>
      <c r="I32" s="58" t="str">
        <f>ورقة19!I32</f>
        <v/>
      </c>
      <c r="J32" s="58" t="str">
        <f>ورقة19!J32</f>
        <v/>
      </c>
      <c r="K32" s="56" t="str">
        <f>ورقة19!K32</f>
        <v>3 ث أ</v>
      </c>
      <c r="L32" s="58" t="str">
        <f>ورقة19!L32</f>
        <v/>
      </c>
      <c r="M32" s="58" t="str">
        <f>ورقة19!M32</f>
        <v/>
      </c>
      <c r="N32" s="58" t="str">
        <f>ورقة19!N32</f>
        <v/>
      </c>
      <c r="O32" s="58" t="str">
        <f>ورقة19!O32</f>
        <v>3 ث أ</v>
      </c>
      <c r="P32" s="58" t="str">
        <f>ورقة19!P32</f>
        <v>3 ث ب</v>
      </c>
      <c r="Q32" s="58" t="str">
        <f>ورقة19!Q32</f>
        <v>3 ث ب</v>
      </c>
      <c r="R32" s="56" t="str">
        <f>ورقة19!R32</f>
        <v>3 ث أ</v>
      </c>
      <c r="S32" s="58" t="str">
        <f>ورقة19!S32</f>
        <v>3 ث ب</v>
      </c>
      <c r="T32" s="58" t="str">
        <f>ورقة19!T32</f>
        <v>3 ث ب</v>
      </c>
      <c r="U32" s="58" t="str">
        <f>ورقة19!U32</f>
        <v/>
      </c>
      <c r="V32" s="58" t="str">
        <f>ورقة19!V32</f>
        <v/>
      </c>
      <c r="W32" s="58" t="str">
        <f>ورقة19!W32</f>
        <v/>
      </c>
      <c r="X32" s="58" t="str">
        <f>ورقة19!X32</f>
        <v/>
      </c>
      <c r="Y32" s="56" t="str">
        <f>ورقة19!Y32</f>
        <v>3 ث ب</v>
      </c>
      <c r="Z32" s="58" t="str">
        <f>ورقة19!Z32</f>
        <v>3 ث أ</v>
      </c>
      <c r="AA32" s="58" t="str">
        <f>ورقة19!AA32</f>
        <v/>
      </c>
      <c r="AB32" s="58" t="str">
        <f>ورقة19!AB32</f>
        <v/>
      </c>
      <c r="AC32" s="58" t="str">
        <f>ورقة19!AC32</f>
        <v/>
      </c>
      <c r="AD32" s="58" t="str">
        <f>ورقة19!AD32</f>
        <v/>
      </c>
      <c r="AE32" s="58" t="str">
        <f>ورقة19!AE32</f>
        <v/>
      </c>
      <c r="AF32" s="56" t="str">
        <f>ورقة19!AF32</f>
        <v/>
      </c>
      <c r="AG32" s="58" t="str">
        <f>ورقة19!AG32</f>
        <v/>
      </c>
      <c r="AH32" s="58" t="str">
        <f>ورقة19!AH32</f>
        <v>3 ث ب</v>
      </c>
      <c r="AI32" s="58" t="str">
        <f>ورقة19!AI32</f>
        <v>3 ث ب</v>
      </c>
      <c r="AJ32" s="58" t="str">
        <f>ورقة19!AJ32</f>
        <v>3 ث أ</v>
      </c>
      <c r="AK32" s="58" t="str">
        <f>ورقة19!AK32</f>
        <v>3 ث أ</v>
      </c>
      <c r="AL32" s="58" t="str">
        <f>ورقة19!AL32</f>
        <v/>
      </c>
    </row>
  </sheetData>
  <mergeCells count="5">
    <mergeCell ref="D2:J2"/>
    <mergeCell ref="K2:Q2"/>
    <mergeCell ref="R2:X2"/>
    <mergeCell ref="Y2:AE2"/>
    <mergeCell ref="AF2:AL2"/>
  </mergeCells>
  <printOptions horizontalCentered="1" verticalCentered="1"/>
  <pageMargins left="0" right="0.23622047244094491" top="0.74803149606299213" bottom="0.74803149606299213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H28"/>
  <sheetViews>
    <sheetView rightToLeft="1" workbookViewId="0">
      <selection sqref="A1:L28"/>
    </sheetView>
  </sheetViews>
  <sheetFormatPr defaultRowHeight="14.25" x14ac:dyDescent="0.45"/>
  <sheetData>
    <row r="3" spans="1:8" x14ac:dyDescent="0.45">
      <c r="D3">
        <v>1</v>
      </c>
    </row>
    <row r="6" spans="1:8" x14ac:dyDescent="0.45">
      <c r="B6">
        <v>1</v>
      </c>
    </row>
    <row r="9" spans="1:8" x14ac:dyDescent="0.45">
      <c r="C9">
        <v>1</v>
      </c>
      <c r="D9">
        <v>1</v>
      </c>
    </row>
    <row r="11" spans="1:8" x14ac:dyDescent="0.45">
      <c r="A11">
        <v>1</v>
      </c>
      <c r="B11">
        <v>1</v>
      </c>
      <c r="C11">
        <v>1</v>
      </c>
      <c r="D11">
        <v>1</v>
      </c>
    </row>
    <row r="12" spans="1:8" x14ac:dyDescent="0.45">
      <c r="E12">
        <v>1</v>
      </c>
      <c r="F12">
        <v>1</v>
      </c>
    </row>
    <row r="13" spans="1:8" x14ac:dyDescent="0.45">
      <c r="E13">
        <v>2</v>
      </c>
    </row>
    <row r="16" spans="1:8" x14ac:dyDescent="0.45">
      <c r="E16">
        <v>1</v>
      </c>
      <c r="F16">
        <v>1</v>
      </c>
      <c r="G16">
        <v>1</v>
      </c>
      <c r="H16">
        <v>1</v>
      </c>
    </row>
    <row r="21" spans="1:8" x14ac:dyDescent="0.45">
      <c r="A21">
        <v>2</v>
      </c>
      <c r="B21">
        <v>1</v>
      </c>
    </row>
    <row r="22" spans="1:8" x14ac:dyDescent="0.45">
      <c r="F22">
        <v>2</v>
      </c>
    </row>
    <row r="23" spans="1:8" x14ac:dyDescent="0.45">
      <c r="G23">
        <v>1</v>
      </c>
      <c r="H23">
        <v>1</v>
      </c>
    </row>
    <row r="24" spans="1:8" x14ac:dyDescent="0.45">
      <c r="A24">
        <v>1</v>
      </c>
      <c r="B24">
        <v>1</v>
      </c>
    </row>
    <row r="25" spans="1:8" x14ac:dyDescent="0.45">
      <c r="C25">
        <v>1</v>
      </c>
      <c r="D25">
        <v>1</v>
      </c>
    </row>
    <row r="28" spans="1:8" x14ac:dyDescent="0.45">
      <c r="C2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B75"/>
  <sheetViews>
    <sheetView rightToLeft="1" topLeftCell="A6" workbookViewId="0">
      <selection activeCell="AH19" sqref="AH19"/>
    </sheetView>
  </sheetViews>
  <sheetFormatPr defaultRowHeight="14.25" x14ac:dyDescent="0.45"/>
  <cols>
    <col min="2" max="2" width="2.86328125" bestFit="1" customWidth="1"/>
    <col min="3" max="3" width="8.1328125" bestFit="1" customWidth="1"/>
    <col min="4" max="4" width="3.86328125" bestFit="1" customWidth="1"/>
    <col min="5" max="15" width="2.86328125" bestFit="1" customWidth="1"/>
    <col min="16" max="16" width="8.1328125" bestFit="1" customWidth="1"/>
    <col min="18" max="18" width="2.86328125" bestFit="1" customWidth="1"/>
    <col min="19" max="19" width="8.1328125" bestFit="1" customWidth="1"/>
    <col min="20" max="20" width="3.86328125" bestFit="1" customWidth="1"/>
    <col min="21" max="31" width="2.86328125" bestFit="1" customWidth="1"/>
    <col min="34" max="34" width="2.86328125" bestFit="1" customWidth="1"/>
    <col min="35" max="35" width="8.1328125" bestFit="1" customWidth="1"/>
    <col min="36" max="36" width="3.86328125" bestFit="1" customWidth="1"/>
    <col min="37" max="47" width="2.86328125" bestFit="1" customWidth="1"/>
    <col min="50" max="50" width="4.86328125" customWidth="1"/>
    <col min="51" max="51" width="7.3984375" bestFit="1" customWidth="1"/>
    <col min="52" max="52" width="4.73046875" style="12" customWidth="1"/>
    <col min="53" max="53" width="5.265625" customWidth="1"/>
  </cols>
  <sheetData>
    <row r="1" spans="1:54" hidden="1" x14ac:dyDescent="0.45"/>
    <row r="2" spans="1:54" hidden="1" x14ac:dyDescent="0.45"/>
    <row r="3" spans="1:54" hidden="1" x14ac:dyDescent="0.45"/>
    <row r="4" spans="1:54" hidden="1" x14ac:dyDescent="0.45">
      <c r="R4" s="75"/>
      <c r="S4" s="75"/>
      <c r="T4" s="75"/>
      <c r="U4" s="75"/>
    </row>
    <row r="5" spans="1:54" hidden="1" x14ac:dyDescent="0.45"/>
    <row r="6" spans="1:54" x14ac:dyDescent="0.45">
      <c r="C6">
        <v>2</v>
      </c>
      <c r="D6">
        <f t="shared" ref="D6:O6" si="0">C6+1</f>
        <v>3</v>
      </c>
      <c r="E6">
        <f t="shared" si="0"/>
        <v>4</v>
      </c>
      <c r="F6">
        <f t="shared" si="0"/>
        <v>5</v>
      </c>
      <c r="G6">
        <f t="shared" si="0"/>
        <v>6</v>
      </c>
      <c r="H6">
        <f t="shared" si="0"/>
        <v>7</v>
      </c>
      <c r="I6">
        <f t="shared" si="0"/>
        <v>8</v>
      </c>
      <c r="J6">
        <f t="shared" si="0"/>
        <v>9</v>
      </c>
      <c r="K6">
        <f t="shared" si="0"/>
        <v>10</v>
      </c>
      <c r="L6">
        <f t="shared" si="0"/>
        <v>11</v>
      </c>
      <c r="M6">
        <f t="shared" si="0"/>
        <v>12</v>
      </c>
      <c r="N6">
        <f t="shared" si="0"/>
        <v>13</v>
      </c>
      <c r="O6">
        <f t="shared" si="0"/>
        <v>14</v>
      </c>
      <c r="S6">
        <v>2</v>
      </c>
      <c r="T6">
        <f>S6+1</f>
        <v>3</v>
      </c>
      <c r="U6">
        <f t="shared" ref="U6:AE6" si="1">T6+1</f>
        <v>4</v>
      </c>
      <c r="V6">
        <f t="shared" si="1"/>
        <v>5</v>
      </c>
      <c r="W6">
        <f t="shared" si="1"/>
        <v>6</v>
      </c>
      <c r="X6">
        <f t="shared" si="1"/>
        <v>7</v>
      </c>
      <c r="Y6">
        <f t="shared" si="1"/>
        <v>8</v>
      </c>
      <c r="Z6">
        <f t="shared" si="1"/>
        <v>9</v>
      </c>
      <c r="AA6">
        <f t="shared" si="1"/>
        <v>10</v>
      </c>
      <c r="AB6">
        <f t="shared" si="1"/>
        <v>11</v>
      </c>
      <c r="AC6">
        <f t="shared" si="1"/>
        <v>12</v>
      </c>
      <c r="AD6">
        <f t="shared" si="1"/>
        <v>13</v>
      </c>
      <c r="AE6">
        <f t="shared" si="1"/>
        <v>14</v>
      </c>
      <c r="AI6">
        <v>2</v>
      </c>
      <c r="AJ6">
        <f>AI6+1</f>
        <v>3</v>
      </c>
      <c r="AK6">
        <f t="shared" ref="AK6:AU6" si="2">AJ6+1</f>
        <v>4</v>
      </c>
      <c r="AL6">
        <f t="shared" si="2"/>
        <v>5</v>
      </c>
      <c r="AM6">
        <f t="shared" si="2"/>
        <v>6</v>
      </c>
      <c r="AN6">
        <f t="shared" si="2"/>
        <v>7</v>
      </c>
      <c r="AO6">
        <f t="shared" si="2"/>
        <v>8</v>
      </c>
      <c r="AP6">
        <f t="shared" si="2"/>
        <v>9</v>
      </c>
      <c r="AQ6">
        <f t="shared" si="2"/>
        <v>10</v>
      </c>
      <c r="AR6">
        <f t="shared" si="2"/>
        <v>11</v>
      </c>
      <c r="AS6">
        <f t="shared" si="2"/>
        <v>12</v>
      </c>
      <c r="AT6">
        <f t="shared" si="2"/>
        <v>13</v>
      </c>
      <c r="AU6">
        <f t="shared" si="2"/>
        <v>14</v>
      </c>
      <c r="AW6">
        <f>B8</f>
        <v>3</v>
      </c>
      <c r="AX6">
        <f>'النصاب الكامل'!A3</f>
        <v>1</v>
      </c>
      <c r="AY6" t="str">
        <f>'النصاب الكامل'!B3</f>
        <v>علي حسين</v>
      </c>
      <c r="AZ6" s="12">
        <f>COUNTIF($AW$6:$AW$75,AX6)</f>
        <v>3</v>
      </c>
      <c r="BA6">
        <v>3</v>
      </c>
      <c r="BB6">
        <f>BA6-AZ6</f>
        <v>0</v>
      </c>
    </row>
    <row r="7" spans="1:54" x14ac:dyDescent="0.45">
      <c r="D7">
        <v>11</v>
      </c>
      <c r="E7">
        <v>21</v>
      </c>
      <c r="F7">
        <v>12</v>
      </c>
      <c r="G7">
        <v>22</v>
      </c>
      <c r="H7">
        <v>13</v>
      </c>
      <c r="I7">
        <v>23</v>
      </c>
      <c r="J7">
        <v>14</v>
      </c>
      <c r="K7">
        <v>24</v>
      </c>
      <c r="L7">
        <v>15</v>
      </c>
      <c r="M7">
        <v>25</v>
      </c>
      <c r="N7">
        <v>16</v>
      </c>
      <c r="O7">
        <v>26</v>
      </c>
      <c r="T7">
        <v>11</v>
      </c>
      <c r="U7">
        <v>21</v>
      </c>
      <c r="V7">
        <v>12</v>
      </c>
      <c r="W7">
        <v>22</v>
      </c>
      <c r="X7">
        <v>13</v>
      </c>
      <c r="Y7">
        <v>23</v>
      </c>
      <c r="Z7">
        <v>14</v>
      </c>
      <c r="AA7">
        <v>24</v>
      </c>
      <c r="AB7">
        <v>15</v>
      </c>
      <c r="AC7">
        <v>25</v>
      </c>
      <c r="AD7">
        <v>16</v>
      </c>
      <c r="AE7">
        <v>26</v>
      </c>
      <c r="AJ7">
        <v>11</v>
      </c>
      <c r="AK7">
        <v>21</v>
      </c>
      <c r="AL7">
        <v>12</v>
      </c>
      <c r="AM7">
        <v>22</v>
      </c>
      <c r="AN7">
        <v>13</v>
      </c>
      <c r="AO7">
        <v>23</v>
      </c>
      <c r="AP7">
        <v>14</v>
      </c>
      <c r="AQ7">
        <v>24</v>
      </c>
      <c r="AR7">
        <v>15</v>
      </c>
      <c r="AS7">
        <v>25</v>
      </c>
      <c r="AT7">
        <v>16</v>
      </c>
      <c r="AU7">
        <v>26</v>
      </c>
      <c r="AW7">
        <f t="shared" ref="AW7:AW19" si="3">B9</f>
        <v>4</v>
      </c>
      <c r="AX7">
        <f>'النصاب الكامل'!A4</f>
        <v>2</v>
      </c>
      <c r="AY7" t="str">
        <f>'النصاب الكامل'!B4</f>
        <v>خالد جابر</v>
      </c>
      <c r="AZ7" s="12">
        <f t="shared" ref="AZ7:AZ33" si="4">COUNTIF($AW$6:$AW$75,AX7)</f>
        <v>2</v>
      </c>
      <c r="BA7">
        <v>2</v>
      </c>
      <c r="BB7">
        <f t="shared" ref="BB7:BB33" si="5">BA7-AZ7</f>
        <v>0</v>
      </c>
    </row>
    <row r="8" spans="1:54" x14ac:dyDescent="0.45">
      <c r="A8" t="s">
        <v>47</v>
      </c>
      <c r="B8">
        <v>3</v>
      </c>
      <c r="C8" t="str">
        <f>IF($B8="","",INDEX('النصاب الكامل'!$AK$3:$AX$31,MATCH($B8,'النصاب الكامل'!$AK$3:$AK$31,0),C$6))</f>
        <v>فرحان علي</v>
      </c>
      <c r="D8" t="str">
        <f>IF($B8="","",IF(INDEX('النصاب الكامل'!$AK$3:$AX$31,MATCH($B8,'النصاب الكامل'!$AK$3:$AK$31,0),D$6)=0,"",INDEX('النصاب الكامل'!$AK$3:$AX$31,MATCH($B8,'النصاب الكامل'!$AK$3:$AK$31,0),D$6)))</f>
        <v/>
      </c>
      <c r="E8" t="str">
        <f>IF($B8="","",IF(INDEX('النصاب الكامل'!$AK$3:$AX$31,MATCH($B8,'النصاب الكامل'!$AK$3:$AK$31,0),E$6)=0,"",INDEX('النصاب الكامل'!$AK$3:$AX$31,MATCH($B8,'النصاب الكامل'!$AK$3:$AK$31,0),E$6)))</f>
        <v/>
      </c>
      <c r="F8">
        <f>IF($B8="","",IF(INDEX('النصاب الكامل'!$AK$3:$AX$31,MATCH($B8,'النصاب الكامل'!$AK$3:$AK$31,0),F$6)=0,"",INDEX('النصاب الكامل'!$AK$3:$AX$31,MATCH($B8,'النصاب الكامل'!$AK$3:$AK$31,0),F$6)))</f>
        <v>5</v>
      </c>
      <c r="G8">
        <f>IF($B8="","",IF(INDEX('النصاب الكامل'!$AK$3:$AX$31,MATCH($B8,'النصاب الكامل'!$AK$3:$AK$31,0),G$6)=0,"",INDEX('النصاب الكامل'!$AK$3:$AX$31,MATCH($B8,'النصاب الكامل'!$AK$3:$AK$31,0),G$6)))</f>
        <v>5</v>
      </c>
      <c r="H8" t="str">
        <f>IF($B8="","",IF(INDEX('النصاب الكامل'!$AK$3:$AX$31,MATCH($B8,'النصاب الكامل'!$AK$3:$AK$31,0),H$6)=0,"",INDEX('النصاب الكامل'!$AK$3:$AX$31,MATCH($B8,'النصاب الكامل'!$AK$3:$AK$31,0),H$6)))</f>
        <v/>
      </c>
      <c r="I8" t="str">
        <f>IF($B8="","",IF(INDEX('النصاب الكامل'!$AK$3:$AX$31,MATCH($B8,'النصاب الكامل'!$AK$3:$AK$31,0),I$6)=0,"",INDEX('النصاب الكامل'!$AK$3:$AX$31,MATCH($B8,'النصاب الكامل'!$AK$3:$AK$31,0),I$6)))</f>
        <v/>
      </c>
      <c r="J8" t="str">
        <f>IF($B8="","",IF(INDEX('النصاب الكامل'!$AK$3:$AX$31,MATCH($B8,'النصاب الكامل'!$AK$3:$AK$31,0),J$6)=0,"",INDEX('النصاب الكامل'!$AK$3:$AX$31,MATCH($B8,'النصاب الكامل'!$AK$3:$AK$31,0),J$6)))</f>
        <v/>
      </c>
      <c r="K8" t="str">
        <f>IF($B8="","",IF(INDEX('النصاب الكامل'!$AK$3:$AX$31,MATCH($B8,'النصاب الكامل'!$AK$3:$AK$31,0),K$6)=0,"",INDEX('النصاب الكامل'!$AK$3:$AX$31,MATCH($B8,'النصاب الكامل'!$AK$3:$AK$31,0),K$6)))</f>
        <v/>
      </c>
      <c r="L8" t="str">
        <f>IF($B8="","",IF(INDEX('النصاب الكامل'!$AK$3:$AX$31,MATCH($B8,'النصاب الكامل'!$AK$3:$AK$31,0),L$6)=0,"",INDEX('النصاب الكامل'!$AK$3:$AX$31,MATCH($B8,'النصاب الكامل'!$AK$3:$AK$31,0),L$6)))</f>
        <v/>
      </c>
      <c r="M8" t="str">
        <f>IF($B8="","",IF(INDEX('النصاب الكامل'!$AK$3:$AX$31,MATCH($B8,'النصاب الكامل'!$AK$3:$AK$31,0),M$6)=0,"",INDEX('النصاب الكامل'!$AK$3:$AX$31,MATCH($B8,'النصاب الكامل'!$AK$3:$AK$31,0),M$6)))</f>
        <v/>
      </c>
      <c r="N8">
        <f>IF($B8="","",IF(INDEX('النصاب الكامل'!$AK$3:$AX$31,MATCH($B8,'النصاب الكامل'!$AK$3:$AK$31,0),N$6)=0,"",INDEX('النصاب الكامل'!$AK$3:$AX$31,MATCH($B8,'النصاب الكامل'!$AK$3:$AK$31,0),N$6)))</f>
        <v>2</v>
      </c>
      <c r="O8">
        <f>IF($B8="","",IF(INDEX('النصاب الكامل'!$AK$3:$AX$31,MATCH($B8,'النصاب الكامل'!$AK$3:$AK$31,0),O$6)=0,"",INDEX('النصاب الكامل'!$AK$3:$AX$31,MATCH($B8,'النصاب الكامل'!$AK$3:$AK$31,0),O$6)))</f>
        <v>2</v>
      </c>
      <c r="Q8" t="s">
        <v>47</v>
      </c>
      <c r="R8">
        <v>1</v>
      </c>
      <c r="S8" t="str">
        <f>IF($R8="","",INDEX('النصاب الكامل'!$AK$3:$AX$31,MATCH($R8,'النصاب الكامل'!$AK$3:$AK$31,0),S$6))</f>
        <v>علي حسين</v>
      </c>
      <c r="T8" t="str">
        <f>IF($R8="","",IF(INDEX('النصاب الكامل'!$AK$3:$AX$31,MATCH($R8,'النصاب الكامل'!$AK$3:$AK$31,0),T$6)=0,"",INDEX('النصاب الكامل'!$AK$3:$AX$31,MATCH($R8,'النصاب الكامل'!$AK$3:$AK$31,0),T$6)))</f>
        <v/>
      </c>
      <c r="U8" t="str">
        <f>IF($R8="","",IF(INDEX('النصاب الكامل'!$AK$3:$AX$31,MATCH($R8,'النصاب الكامل'!$AK$3:$AK$31,0),U$6)=0,"",INDEX('النصاب الكامل'!$AK$3:$AX$31,MATCH($R8,'النصاب الكامل'!$AK$3:$AK$31,0),U$6)))</f>
        <v/>
      </c>
      <c r="V8" t="str">
        <f>IF($R8="","",IF(INDEX('النصاب الكامل'!$AK$3:$AX$31,MATCH($R8,'النصاب الكامل'!$AK$3:$AK$31,0),V$6)=0,"",INDEX('النصاب الكامل'!$AK$3:$AX$31,MATCH($R8,'النصاب الكامل'!$AK$3:$AK$31,0),V$6)))</f>
        <v/>
      </c>
      <c r="W8" t="str">
        <f>IF($R8="","",IF(INDEX('النصاب الكامل'!$AK$3:$AX$31,MATCH($R8,'النصاب الكامل'!$AK$3:$AK$31,0),W$6)=0,"",INDEX('النصاب الكامل'!$AK$3:$AX$31,MATCH($R8,'النصاب الكامل'!$AK$3:$AK$31,0),W$6)))</f>
        <v/>
      </c>
      <c r="X8">
        <f>IF($R8="","",IF(INDEX('النصاب الكامل'!$AK$3:$AX$31,MATCH($R8,'النصاب الكامل'!$AK$3:$AK$31,0),X$6)=0,"",INDEX('النصاب الكامل'!$AK$3:$AX$31,MATCH($R8,'النصاب الكامل'!$AK$3:$AK$31,0),X$6)))</f>
        <v>6</v>
      </c>
      <c r="Y8">
        <f>IF($R8="","",IF(INDEX('النصاب الكامل'!$AK$3:$AX$31,MATCH($R8,'النصاب الكامل'!$AK$3:$AK$31,0),Y$6)=0,"",INDEX('النصاب الكامل'!$AK$3:$AX$31,MATCH($R8,'النصاب الكامل'!$AK$3:$AK$31,0),Y$6)))</f>
        <v>6</v>
      </c>
      <c r="Z8" t="str">
        <f>IF($R8="","",IF(INDEX('النصاب الكامل'!$AK$3:$AX$31,MATCH($R8,'النصاب الكامل'!$AK$3:$AK$31,0),Z$6)=0,"",INDEX('النصاب الكامل'!$AK$3:$AX$31,MATCH($R8,'النصاب الكامل'!$AK$3:$AK$31,0),Z$6)))</f>
        <v/>
      </c>
      <c r="AA8" t="str">
        <f>IF($R8="","",IF(INDEX('النصاب الكامل'!$AK$3:$AX$31,MATCH($R8,'النصاب الكامل'!$AK$3:$AK$31,0),AA$6)=0,"",INDEX('النصاب الكامل'!$AK$3:$AX$31,MATCH($R8,'النصاب الكامل'!$AK$3:$AK$31,0),AA$6)))</f>
        <v/>
      </c>
      <c r="AB8" t="str">
        <f>IF($R8="","",IF(INDEX('النصاب الكامل'!$AK$3:$AX$31,MATCH($R8,'النصاب الكامل'!$AK$3:$AK$31,0),AB$6)=0,"",INDEX('النصاب الكامل'!$AK$3:$AX$31,MATCH($R8,'النصاب الكامل'!$AK$3:$AK$31,0),AB$6)))</f>
        <v/>
      </c>
      <c r="AC8" t="str">
        <f>IF($R8="","",IF(INDEX('النصاب الكامل'!$AK$3:$AX$31,MATCH($R8,'النصاب الكامل'!$AK$3:$AK$31,0),AC$6)=0,"",INDEX('النصاب الكامل'!$AK$3:$AX$31,MATCH($R8,'النصاب الكامل'!$AK$3:$AK$31,0),AC$6)))</f>
        <v/>
      </c>
      <c r="AD8" t="str">
        <f>IF($R8="","",IF(INDEX('النصاب الكامل'!$AK$3:$AX$31,MATCH($R8,'النصاب الكامل'!$AK$3:$AK$31,0),AD$6)=0,"",INDEX('النصاب الكامل'!$AK$3:$AX$31,MATCH($R8,'النصاب الكامل'!$AK$3:$AK$31,0),AD$6)))</f>
        <v/>
      </c>
      <c r="AE8" t="str">
        <f>IF($R8="","",IF(INDEX('النصاب الكامل'!$AK$3:$AX$31,MATCH($R8,'النصاب الكامل'!$AK$3:$AK$31,0),AE$6)=0,"",INDEX('النصاب الكامل'!$AK$3:$AX$31,MATCH($R8,'النصاب الكامل'!$AK$3:$AK$31,0),AE$6)))</f>
        <v/>
      </c>
      <c r="AG8" t="s">
        <v>47</v>
      </c>
      <c r="AH8">
        <v>1</v>
      </c>
      <c r="AI8" t="str">
        <f>IF($AH8="","",INDEX('النصاب الكامل'!$AK$3:$AX$31,MATCH($AH8,'النصاب الكامل'!$AK$3:$AK$31,0),AI$6))</f>
        <v>علي حسين</v>
      </c>
      <c r="AJ8" t="str">
        <f>IF($AH8="","",IF(INDEX('النصاب الكامل'!$AK$3:$AX$31,MATCH($AH8,'النصاب الكامل'!$AK$3:$AK$31,0),AJ$6)=0,"",INDEX('النصاب الكامل'!$AK$3:$AX$31,MATCH($AH8,'النصاب الكامل'!$AK$3:$AK$31,0),AJ$6)))</f>
        <v/>
      </c>
      <c r="AK8" t="str">
        <f>IF($AH8="","",IF(INDEX('النصاب الكامل'!$AK$3:$AX$31,MATCH($AH8,'النصاب الكامل'!$AK$3:$AK$31,0),AK$6)=0,"",INDEX('النصاب الكامل'!$AK$3:$AX$31,MATCH($AH8,'النصاب الكامل'!$AK$3:$AK$31,0),AK$6)))</f>
        <v/>
      </c>
      <c r="AL8" t="str">
        <f>IF($AH8="","",IF(INDEX('النصاب الكامل'!$AK$3:$AX$31,MATCH($AH8,'النصاب الكامل'!$AK$3:$AK$31,0),AL$6)=0,"",INDEX('النصاب الكامل'!$AK$3:$AX$31,MATCH($AH8,'النصاب الكامل'!$AK$3:$AK$31,0),AL$6)))</f>
        <v/>
      </c>
      <c r="AM8" t="str">
        <f>IF($AH8="","",IF(INDEX('النصاب الكامل'!$AK$3:$AX$31,MATCH($AH8,'النصاب الكامل'!$AK$3:$AK$31,0),AM$6)=0,"",INDEX('النصاب الكامل'!$AK$3:$AX$31,MATCH($AH8,'النصاب الكامل'!$AK$3:$AK$31,0),AM$6)))</f>
        <v/>
      </c>
      <c r="AN8">
        <f>IF($AH8="","",IF(INDEX('النصاب الكامل'!$AK$3:$AX$31,MATCH($AH8,'النصاب الكامل'!$AK$3:$AK$31,0),AN$6)=0,"",INDEX('النصاب الكامل'!$AK$3:$AX$31,MATCH($AH8,'النصاب الكامل'!$AK$3:$AK$31,0),AN$6)))</f>
        <v>6</v>
      </c>
      <c r="AO8">
        <f>IF($AH8="","",IF(INDEX('النصاب الكامل'!$AK$3:$AX$31,MATCH($AH8,'النصاب الكامل'!$AK$3:$AK$31,0),AO$6)=0,"",INDEX('النصاب الكامل'!$AK$3:$AX$31,MATCH($AH8,'النصاب الكامل'!$AK$3:$AK$31,0),AO$6)))</f>
        <v>6</v>
      </c>
      <c r="AP8" t="str">
        <f>IF($AH8="","",IF(INDEX('النصاب الكامل'!$AK$3:$AX$31,MATCH($AH8,'النصاب الكامل'!$AK$3:$AK$31,0),AP$6)=0,"",INDEX('النصاب الكامل'!$AK$3:$AX$31,MATCH($AH8,'النصاب الكامل'!$AK$3:$AK$31,0),AP$6)))</f>
        <v/>
      </c>
      <c r="AQ8" t="str">
        <f>IF($AH8="","",IF(INDEX('النصاب الكامل'!$AK$3:$AX$31,MATCH($AH8,'النصاب الكامل'!$AK$3:$AK$31,0),AQ$6)=0,"",INDEX('النصاب الكامل'!$AK$3:$AX$31,MATCH($AH8,'النصاب الكامل'!$AK$3:$AK$31,0),AQ$6)))</f>
        <v/>
      </c>
      <c r="AR8" t="str">
        <f>IF($AH8="","",IF(INDEX('النصاب الكامل'!$AK$3:$AX$31,MATCH($AH8,'النصاب الكامل'!$AK$3:$AK$31,0),AR$6)=0,"",INDEX('النصاب الكامل'!$AK$3:$AX$31,MATCH($AH8,'النصاب الكامل'!$AK$3:$AK$31,0),AR$6)))</f>
        <v/>
      </c>
      <c r="AS8" t="str">
        <f>IF($AH8="","",IF(INDEX('النصاب الكامل'!$AK$3:$AX$31,MATCH($AH8,'النصاب الكامل'!$AK$3:$AK$31,0),AS$6)=0,"",INDEX('النصاب الكامل'!$AK$3:$AX$31,MATCH($AH8,'النصاب الكامل'!$AK$3:$AK$31,0),AS$6)))</f>
        <v/>
      </c>
      <c r="AT8" t="str">
        <f>IF($AH8="","",IF(INDEX('النصاب الكامل'!$AK$3:$AX$31,MATCH($AH8,'النصاب الكامل'!$AK$3:$AK$31,0),AT$6)=0,"",INDEX('النصاب الكامل'!$AK$3:$AX$31,MATCH($AH8,'النصاب الكامل'!$AK$3:$AK$31,0),AT$6)))</f>
        <v/>
      </c>
      <c r="AU8" t="str">
        <f>IF($AH8="","",IF(INDEX('النصاب الكامل'!$AK$3:$AX$31,MATCH($AH8,'النصاب الكامل'!$AK$3:$AK$31,0),AU$6)=0,"",INDEX('النصاب الكامل'!$AK$3:$AX$31,MATCH($AH8,'النصاب الكامل'!$AK$3:$AK$31,0),AU$6)))</f>
        <v/>
      </c>
      <c r="AW8">
        <f t="shared" si="3"/>
        <v>7</v>
      </c>
      <c r="AX8">
        <f>'النصاب الكامل'!A5</f>
        <v>3</v>
      </c>
      <c r="AY8" t="str">
        <f>'النصاب الكامل'!B5</f>
        <v>فرحان علي</v>
      </c>
      <c r="AZ8" s="12">
        <f t="shared" si="4"/>
        <v>2</v>
      </c>
      <c r="BA8">
        <v>2</v>
      </c>
      <c r="BB8">
        <f t="shared" si="5"/>
        <v>0</v>
      </c>
    </row>
    <row r="9" spans="1:54" x14ac:dyDescent="0.45">
      <c r="A9" t="s">
        <v>48</v>
      </c>
      <c r="B9">
        <v>4</v>
      </c>
      <c r="C9" t="str">
        <f>IF($B9="","",INDEX('النصاب الكامل'!$AK$3:$AX$31,MATCH($B9,'النصاب الكامل'!$AK$3:$AK$31,0),C$6))</f>
        <v>محمد الحجفي</v>
      </c>
      <c r="D9" t="str">
        <f>IF($B9="","",IF(INDEX('النصاب الكامل'!$AK$3:$AX$31,MATCH($B9,'النصاب الكامل'!$AK$3:$AK$31,0),D$6)=0,"",INDEX('النصاب الكامل'!$AK$3:$AX$31,MATCH($B9,'النصاب الكامل'!$AK$3:$AK$31,0),D$6)))</f>
        <v/>
      </c>
      <c r="E9" t="str">
        <f>IF($B9="","",IF(INDEX('النصاب الكامل'!$AK$3:$AX$31,MATCH($B9,'النصاب الكامل'!$AK$3:$AK$31,0),E$6)=0,"",INDEX('النصاب الكامل'!$AK$3:$AX$31,MATCH($B9,'النصاب الكامل'!$AK$3:$AK$31,0),E$6)))</f>
        <v/>
      </c>
      <c r="F9" t="str">
        <f>IF($B9="","",IF(INDEX('النصاب الكامل'!$AK$3:$AX$31,MATCH($B9,'النصاب الكامل'!$AK$3:$AK$31,0),F$6)=0,"",INDEX('النصاب الكامل'!$AK$3:$AX$31,MATCH($B9,'النصاب الكامل'!$AK$3:$AK$31,0),F$6)))</f>
        <v/>
      </c>
      <c r="G9" t="str">
        <f>IF($B9="","",IF(INDEX('النصاب الكامل'!$AK$3:$AX$31,MATCH($B9,'النصاب الكامل'!$AK$3:$AK$31,0),G$6)=0,"",INDEX('النصاب الكامل'!$AK$3:$AX$31,MATCH($B9,'النصاب الكامل'!$AK$3:$AK$31,0),G$6)))</f>
        <v/>
      </c>
      <c r="H9">
        <f>IF($B9="","",IF(INDEX('النصاب الكامل'!$AK$3:$AX$31,MATCH($B9,'النصاب الكامل'!$AK$3:$AK$31,0),H$6)=0,"",INDEX('النصاب الكامل'!$AK$3:$AX$31,MATCH($B9,'النصاب الكامل'!$AK$3:$AK$31,0),H$6)))</f>
        <v>2</v>
      </c>
      <c r="I9">
        <f>IF($B9="","",IF(INDEX('النصاب الكامل'!$AK$3:$AX$31,MATCH($B9,'النصاب الكامل'!$AK$3:$AK$31,0),I$6)=0,"",INDEX('النصاب الكامل'!$AK$3:$AX$31,MATCH($B9,'النصاب الكامل'!$AK$3:$AK$31,0),I$6)))</f>
        <v>2</v>
      </c>
      <c r="J9">
        <f>IF($B9="","",IF(INDEX('النصاب الكامل'!$AK$3:$AX$31,MATCH($B9,'النصاب الكامل'!$AK$3:$AK$31,0),J$6)=0,"",INDEX('النصاب الكامل'!$AK$3:$AX$31,MATCH($B9,'النصاب الكامل'!$AK$3:$AK$31,0),J$6)))</f>
        <v>3</v>
      </c>
      <c r="K9">
        <f>IF($B9="","",IF(INDEX('النصاب الكامل'!$AK$3:$AX$31,MATCH($B9,'النصاب الكامل'!$AK$3:$AK$31,0),K$6)=0,"",INDEX('النصاب الكامل'!$AK$3:$AX$31,MATCH($B9,'النصاب الكامل'!$AK$3:$AK$31,0),K$6)))</f>
        <v>3</v>
      </c>
      <c r="L9" t="str">
        <f>IF($B9="","",IF(INDEX('النصاب الكامل'!$AK$3:$AX$31,MATCH($B9,'النصاب الكامل'!$AK$3:$AK$31,0),L$6)=0,"",INDEX('النصاب الكامل'!$AK$3:$AX$31,MATCH($B9,'النصاب الكامل'!$AK$3:$AK$31,0),L$6)))</f>
        <v/>
      </c>
      <c r="M9" t="str">
        <f>IF($B9="","",IF(INDEX('النصاب الكامل'!$AK$3:$AX$31,MATCH($B9,'النصاب الكامل'!$AK$3:$AK$31,0),M$6)=0,"",INDEX('النصاب الكامل'!$AK$3:$AX$31,MATCH($B9,'النصاب الكامل'!$AK$3:$AK$31,0),M$6)))</f>
        <v/>
      </c>
      <c r="N9" t="str">
        <f>IF($B9="","",IF(INDEX('النصاب الكامل'!$AK$3:$AX$31,MATCH($B9,'النصاب الكامل'!$AK$3:$AK$31,0),N$6)=0,"",INDEX('النصاب الكامل'!$AK$3:$AX$31,MATCH($B9,'النصاب الكامل'!$AK$3:$AK$31,0),N$6)))</f>
        <v/>
      </c>
      <c r="O9" t="str">
        <f>IF($B9="","",IF(INDEX('النصاب الكامل'!$AK$3:$AX$31,MATCH($B9,'النصاب الكامل'!$AK$3:$AK$31,0),O$6)=0,"",INDEX('النصاب الكامل'!$AK$3:$AX$31,MATCH($B9,'النصاب الكامل'!$AK$3:$AK$31,0),O$6)))</f>
        <v/>
      </c>
      <c r="Q9" t="s">
        <v>48</v>
      </c>
      <c r="R9">
        <v>2</v>
      </c>
      <c r="S9" t="str">
        <f>IF($R9="","",INDEX('النصاب الكامل'!$AK$3:$AX$31,MATCH($R9,'النصاب الكامل'!$AK$3:$AK$31,0),S$6))</f>
        <v>خالد جابر</v>
      </c>
      <c r="T9">
        <f>IF($R9="","",IF(INDEX('النصاب الكامل'!$AK$3:$AX$31,MATCH($R9,'النصاب الكامل'!$AK$3:$AK$31,0),T$6)=0,"",INDEX('النصاب الكامل'!$AK$3:$AX$31,MATCH($R9,'النصاب الكامل'!$AK$3:$AK$31,0),T$6)))</f>
        <v>7</v>
      </c>
      <c r="U9" t="str">
        <f>IF($R9="","",IF(INDEX('النصاب الكامل'!$AK$3:$AX$31,MATCH($R9,'النصاب الكامل'!$AK$3:$AK$31,0),U$6)=0,"",INDEX('النصاب الكامل'!$AK$3:$AX$31,MATCH($R9,'النصاب الكامل'!$AK$3:$AK$31,0),U$6)))</f>
        <v/>
      </c>
      <c r="V9">
        <f>IF($R9="","",IF(INDEX('النصاب الكامل'!$AK$3:$AX$31,MATCH($R9,'النصاب الكامل'!$AK$3:$AK$31,0),V$6)=0,"",INDEX('النصاب الكامل'!$AK$3:$AX$31,MATCH($R9,'النصاب الكامل'!$AK$3:$AK$31,0),V$6)))</f>
        <v>2</v>
      </c>
      <c r="W9">
        <f>IF($R9="","",IF(INDEX('النصاب الكامل'!$AK$3:$AX$31,MATCH($R9,'النصاب الكامل'!$AK$3:$AK$31,0),W$6)=0,"",INDEX('النصاب الكامل'!$AK$3:$AX$31,MATCH($R9,'النصاب الكامل'!$AK$3:$AK$31,0),W$6)))</f>
        <v>2</v>
      </c>
      <c r="X9" t="str">
        <f>IF($R9="","",IF(INDEX('النصاب الكامل'!$AK$3:$AX$31,MATCH($R9,'النصاب الكامل'!$AK$3:$AK$31,0),X$6)=0,"",INDEX('النصاب الكامل'!$AK$3:$AX$31,MATCH($R9,'النصاب الكامل'!$AK$3:$AK$31,0),X$6)))</f>
        <v/>
      </c>
      <c r="Y9" t="str">
        <f>IF($R9="","",IF(INDEX('النصاب الكامل'!$AK$3:$AX$31,MATCH($R9,'النصاب الكامل'!$AK$3:$AK$31,0),Y$6)=0,"",INDEX('النصاب الكامل'!$AK$3:$AX$31,MATCH($R9,'النصاب الكامل'!$AK$3:$AK$31,0),Y$6)))</f>
        <v/>
      </c>
      <c r="Z9" t="str">
        <f>IF($R9="","",IF(INDEX('النصاب الكامل'!$AK$3:$AX$31,MATCH($R9,'النصاب الكامل'!$AK$3:$AK$31,0),Z$6)=0,"",INDEX('النصاب الكامل'!$AK$3:$AX$31,MATCH($R9,'النصاب الكامل'!$AK$3:$AK$31,0),Z$6)))</f>
        <v/>
      </c>
      <c r="AA9" t="str">
        <f>IF($R9="","",IF(INDEX('النصاب الكامل'!$AK$3:$AX$31,MATCH($R9,'النصاب الكامل'!$AK$3:$AK$31,0),AA$6)=0,"",INDEX('النصاب الكامل'!$AK$3:$AX$31,MATCH($R9,'النصاب الكامل'!$AK$3:$AK$31,0),AA$6)))</f>
        <v/>
      </c>
      <c r="AB9" t="str">
        <f>IF($R9="","",IF(INDEX('النصاب الكامل'!$AK$3:$AX$31,MATCH($R9,'النصاب الكامل'!$AK$3:$AK$31,0),AB$6)=0,"",INDEX('النصاب الكامل'!$AK$3:$AX$31,MATCH($R9,'النصاب الكامل'!$AK$3:$AK$31,0),AB$6)))</f>
        <v/>
      </c>
      <c r="AC9" t="str">
        <f>IF($R9="","",IF(INDEX('النصاب الكامل'!$AK$3:$AX$31,MATCH($R9,'النصاب الكامل'!$AK$3:$AK$31,0),AC$6)=0,"",INDEX('النصاب الكامل'!$AK$3:$AX$31,MATCH($R9,'النصاب الكامل'!$AK$3:$AK$31,0),AC$6)))</f>
        <v/>
      </c>
      <c r="AD9" t="str">
        <f>IF($R9="","",IF(INDEX('النصاب الكامل'!$AK$3:$AX$31,MATCH($R9,'النصاب الكامل'!$AK$3:$AK$31,0),AD$6)=0,"",INDEX('النصاب الكامل'!$AK$3:$AX$31,MATCH($R9,'النصاب الكامل'!$AK$3:$AK$31,0),AD$6)))</f>
        <v/>
      </c>
      <c r="AE9" t="str">
        <f>IF($R9="","",IF(INDEX('النصاب الكامل'!$AK$3:$AX$31,MATCH($R9,'النصاب الكامل'!$AK$3:$AK$31,0),AE$6)=0,"",INDEX('النصاب الكامل'!$AK$3:$AX$31,MATCH($R9,'النصاب الكامل'!$AK$3:$AK$31,0),AE$6)))</f>
        <v/>
      </c>
      <c r="AG9" t="s">
        <v>48</v>
      </c>
      <c r="AH9">
        <v>6</v>
      </c>
      <c r="AI9" t="str">
        <f>IF($AH9="","",INDEX('النصاب الكامل'!$AK$3:$AX$31,MATCH($AH9,'النصاب الكامل'!$AK$3:$AK$31,0),AI$6))</f>
        <v>علي اليحيوي</v>
      </c>
      <c r="AJ9">
        <f>IF($AH9="","",IF(INDEX('النصاب الكامل'!$AK$3:$AX$31,MATCH($AH9,'النصاب الكامل'!$AK$3:$AK$31,0),AJ$6)=0,"",INDEX('النصاب الكامل'!$AK$3:$AX$31,MATCH($AH9,'النصاب الكامل'!$AK$3:$AK$31,0),AJ$6)))</f>
        <v>5</v>
      </c>
      <c r="AK9" t="str">
        <f>IF($AH9="","",IF(INDEX('النصاب الكامل'!$AK$3:$AX$31,MATCH($AH9,'النصاب الكامل'!$AK$3:$AK$31,0),AK$6)=0,"",INDEX('النصاب الكامل'!$AK$3:$AX$31,MATCH($AH9,'النصاب الكامل'!$AK$3:$AK$31,0),AK$6)))</f>
        <v/>
      </c>
      <c r="AL9">
        <f>IF($AH9="","",IF(INDEX('النصاب الكامل'!$AK$3:$AX$31,MATCH($AH9,'النصاب الكامل'!$AK$3:$AK$31,0),AL$6)=0,"",INDEX('النصاب الكامل'!$AK$3:$AX$31,MATCH($AH9,'النصاب الكامل'!$AK$3:$AK$31,0),AL$6)))</f>
        <v>5</v>
      </c>
      <c r="AM9">
        <f>IF($AH9="","",IF(INDEX('النصاب الكامل'!$AK$3:$AX$31,MATCH($AH9,'النصاب الكامل'!$AK$3:$AK$31,0),AM$6)=0,"",INDEX('النصاب الكامل'!$AK$3:$AX$31,MATCH($AH9,'النصاب الكامل'!$AK$3:$AK$31,0),AM$6)))</f>
        <v>5</v>
      </c>
      <c r="AN9" t="str">
        <f>IF($AH9="","",IF(INDEX('النصاب الكامل'!$AK$3:$AX$31,MATCH($AH9,'النصاب الكامل'!$AK$3:$AK$31,0),AN$6)=0,"",INDEX('النصاب الكامل'!$AK$3:$AX$31,MATCH($AH9,'النصاب الكامل'!$AK$3:$AK$31,0),AN$6)))</f>
        <v/>
      </c>
      <c r="AO9" t="str">
        <f>IF($AH9="","",IF(INDEX('النصاب الكامل'!$AK$3:$AX$31,MATCH($AH9,'النصاب الكامل'!$AK$3:$AK$31,0),AO$6)=0,"",INDEX('النصاب الكامل'!$AK$3:$AX$31,MATCH($AH9,'النصاب الكامل'!$AK$3:$AK$31,0),AO$6)))</f>
        <v/>
      </c>
      <c r="AP9" t="str">
        <f>IF($AH9="","",IF(INDEX('النصاب الكامل'!$AK$3:$AX$31,MATCH($AH9,'النصاب الكامل'!$AK$3:$AK$31,0),AP$6)=0,"",INDEX('النصاب الكامل'!$AK$3:$AX$31,MATCH($AH9,'النصاب الكامل'!$AK$3:$AK$31,0),AP$6)))</f>
        <v/>
      </c>
      <c r="AQ9" t="str">
        <f>IF($AH9="","",IF(INDEX('النصاب الكامل'!$AK$3:$AX$31,MATCH($AH9,'النصاب الكامل'!$AK$3:$AK$31,0),AQ$6)=0,"",INDEX('النصاب الكامل'!$AK$3:$AX$31,MATCH($AH9,'النصاب الكامل'!$AK$3:$AK$31,0),AQ$6)))</f>
        <v/>
      </c>
      <c r="AR9" t="str">
        <f>IF($AH9="","",IF(INDEX('النصاب الكامل'!$AK$3:$AX$31,MATCH($AH9,'النصاب الكامل'!$AK$3:$AK$31,0),AR$6)=0,"",INDEX('النصاب الكامل'!$AK$3:$AX$31,MATCH($AH9,'النصاب الكامل'!$AK$3:$AK$31,0),AR$6)))</f>
        <v/>
      </c>
      <c r="AS9" t="str">
        <f>IF($AH9="","",IF(INDEX('النصاب الكامل'!$AK$3:$AX$31,MATCH($AH9,'النصاب الكامل'!$AK$3:$AK$31,0),AS$6)=0,"",INDEX('النصاب الكامل'!$AK$3:$AX$31,MATCH($AH9,'النصاب الكامل'!$AK$3:$AK$31,0),AS$6)))</f>
        <v/>
      </c>
      <c r="AT9" t="str">
        <f>IF($AH9="","",IF(INDEX('النصاب الكامل'!$AK$3:$AX$31,MATCH($AH9,'النصاب الكامل'!$AK$3:$AK$31,0),AT$6)=0,"",INDEX('النصاب الكامل'!$AK$3:$AX$31,MATCH($AH9,'النصاب الكامل'!$AK$3:$AK$31,0),AT$6)))</f>
        <v/>
      </c>
      <c r="AU9" t="str">
        <f>IF($AH9="","",IF(INDEX('النصاب الكامل'!$AK$3:$AX$31,MATCH($AH9,'النصاب الكامل'!$AK$3:$AK$31,0),AU$6)=0,"",INDEX('النصاب الكامل'!$AK$3:$AX$31,MATCH($AH9,'النصاب الكامل'!$AK$3:$AK$31,0),AU$6)))</f>
        <v/>
      </c>
      <c r="AW9">
        <f t="shared" si="3"/>
        <v>8</v>
      </c>
      <c r="AX9">
        <f>'النصاب الكامل'!A6</f>
        <v>4</v>
      </c>
      <c r="AY9" t="str">
        <f>'النصاب الكامل'!B6</f>
        <v>محمد الحجفي</v>
      </c>
      <c r="AZ9" s="12">
        <f t="shared" si="4"/>
        <v>2</v>
      </c>
      <c r="BA9">
        <v>2</v>
      </c>
      <c r="BB9">
        <f t="shared" si="5"/>
        <v>0</v>
      </c>
    </row>
    <row r="10" spans="1:54" x14ac:dyDescent="0.45">
      <c r="A10" t="s">
        <v>49</v>
      </c>
      <c r="B10">
        <v>7</v>
      </c>
      <c r="C10" t="str">
        <f>IF($B10="","",INDEX('النصاب الكامل'!$AK$3:$AX$31,MATCH($B10,'النصاب الكامل'!$AK$3:$AK$31,0),C$6))</f>
        <v>جبر الغزواني</v>
      </c>
      <c r="D10" t="str">
        <f>IF($B10="","",IF(INDEX('النصاب الكامل'!$AK$3:$AX$31,MATCH($B10,'النصاب الكامل'!$AK$3:$AK$31,0),D$6)=0,"",INDEX('النصاب الكامل'!$AK$3:$AX$31,MATCH($B10,'النصاب الكامل'!$AK$3:$AK$31,0),D$6)))</f>
        <v/>
      </c>
      <c r="E10" t="str">
        <f>IF($B10="","",IF(INDEX('النصاب الكامل'!$AK$3:$AX$31,MATCH($B10,'النصاب الكامل'!$AK$3:$AK$31,0),E$6)=0,"",INDEX('النصاب الكامل'!$AK$3:$AX$31,MATCH($B10,'النصاب الكامل'!$AK$3:$AK$31,0),E$6)))</f>
        <v/>
      </c>
      <c r="F10" t="str">
        <f>IF($B10="","",IF(INDEX('النصاب الكامل'!$AK$3:$AX$31,MATCH($B10,'النصاب الكامل'!$AK$3:$AK$31,0),F$6)=0,"",INDEX('النصاب الكامل'!$AK$3:$AX$31,MATCH($B10,'النصاب الكامل'!$AK$3:$AK$31,0),F$6)))</f>
        <v/>
      </c>
      <c r="G10" t="str">
        <f>IF($B10="","",IF(INDEX('النصاب الكامل'!$AK$3:$AX$31,MATCH($B10,'النصاب الكامل'!$AK$3:$AK$31,0),G$6)=0,"",INDEX('النصاب الكامل'!$AK$3:$AX$31,MATCH($B10,'النصاب الكامل'!$AK$3:$AK$31,0),G$6)))</f>
        <v/>
      </c>
      <c r="H10">
        <f>IF($B10="","",IF(INDEX('النصاب الكامل'!$AK$3:$AX$31,MATCH($B10,'النصاب الكامل'!$AK$3:$AK$31,0),H$6)=0,"",INDEX('النصاب الكامل'!$AK$3:$AX$31,MATCH($B10,'النصاب الكامل'!$AK$3:$AK$31,0),H$6)))</f>
        <v>5</v>
      </c>
      <c r="I10">
        <f>IF($B10="","",IF(INDEX('النصاب الكامل'!$AK$3:$AX$31,MATCH($B10,'النصاب الكامل'!$AK$3:$AK$31,0),I$6)=0,"",INDEX('النصاب الكامل'!$AK$3:$AX$31,MATCH($B10,'النصاب الكامل'!$AK$3:$AK$31,0),I$6)))</f>
        <v>5</v>
      </c>
      <c r="J10" t="str">
        <f>IF($B10="","",IF(INDEX('النصاب الكامل'!$AK$3:$AX$31,MATCH($B10,'النصاب الكامل'!$AK$3:$AK$31,0),J$6)=0,"",INDEX('النصاب الكامل'!$AK$3:$AX$31,MATCH($B10,'النصاب الكامل'!$AK$3:$AK$31,0),J$6)))</f>
        <v/>
      </c>
      <c r="K10" t="str">
        <f>IF($B10="","",IF(INDEX('النصاب الكامل'!$AK$3:$AX$31,MATCH($B10,'النصاب الكامل'!$AK$3:$AK$31,0),K$6)=0,"",INDEX('النصاب الكامل'!$AK$3:$AX$31,MATCH($B10,'النصاب الكامل'!$AK$3:$AK$31,0),K$6)))</f>
        <v/>
      </c>
      <c r="L10" t="str">
        <f>IF($B10="","",IF(INDEX('النصاب الكامل'!$AK$3:$AX$31,MATCH($B10,'النصاب الكامل'!$AK$3:$AK$31,0),L$6)=0,"",INDEX('النصاب الكامل'!$AK$3:$AX$31,MATCH($B10,'النصاب الكامل'!$AK$3:$AK$31,0),L$6)))</f>
        <v/>
      </c>
      <c r="M10" t="str">
        <f>IF($B10="","",IF(INDEX('النصاب الكامل'!$AK$3:$AX$31,MATCH($B10,'النصاب الكامل'!$AK$3:$AK$31,0),M$6)=0,"",INDEX('النصاب الكامل'!$AK$3:$AX$31,MATCH($B10,'النصاب الكامل'!$AK$3:$AK$31,0),M$6)))</f>
        <v/>
      </c>
      <c r="N10" t="str">
        <f>IF($B10="","",IF(INDEX('النصاب الكامل'!$AK$3:$AX$31,MATCH($B10,'النصاب الكامل'!$AK$3:$AK$31,0),N$6)=0,"",INDEX('النصاب الكامل'!$AK$3:$AX$31,MATCH($B10,'النصاب الكامل'!$AK$3:$AK$31,0),N$6)))</f>
        <v/>
      </c>
      <c r="O10" t="str">
        <f>IF($B10="","",IF(INDEX('النصاب الكامل'!$AK$3:$AX$31,MATCH($B10,'النصاب الكامل'!$AK$3:$AK$31,0),O$6)=0,"",INDEX('النصاب الكامل'!$AK$3:$AX$31,MATCH($B10,'النصاب الكامل'!$AK$3:$AK$31,0),O$6)))</f>
        <v/>
      </c>
      <c r="Q10" t="s">
        <v>49</v>
      </c>
      <c r="R10">
        <v>6</v>
      </c>
      <c r="S10" t="str">
        <f>IF($R10="","",INDEX('النصاب الكامل'!$AK$3:$AX$31,MATCH($R10,'النصاب الكامل'!$AK$3:$AK$31,0),S$6))</f>
        <v>علي اليحيوي</v>
      </c>
      <c r="T10">
        <f>IF($R10="","",IF(INDEX('النصاب الكامل'!$AK$3:$AX$31,MATCH($R10,'النصاب الكامل'!$AK$3:$AK$31,0),T$6)=0,"",INDEX('النصاب الكامل'!$AK$3:$AX$31,MATCH($R10,'النصاب الكامل'!$AK$3:$AK$31,0),T$6)))</f>
        <v>5</v>
      </c>
      <c r="U10" t="str">
        <f>IF($R10="","",IF(INDEX('النصاب الكامل'!$AK$3:$AX$31,MATCH($R10,'النصاب الكامل'!$AK$3:$AK$31,0),U$6)=0,"",INDEX('النصاب الكامل'!$AK$3:$AX$31,MATCH($R10,'النصاب الكامل'!$AK$3:$AK$31,0),U$6)))</f>
        <v/>
      </c>
      <c r="V10">
        <f>IF($R10="","",IF(INDEX('النصاب الكامل'!$AK$3:$AX$31,MATCH($R10,'النصاب الكامل'!$AK$3:$AK$31,0),V$6)=0,"",INDEX('النصاب الكامل'!$AK$3:$AX$31,MATCH($R10,'النصاب الكامل'!$AK$3:$AK$31,0),V$6)))</f>
        <v>5</v>
      </c>
      <c r="W10">
        <f>IF($R10="","",IF(INDEX('النصاب الكامل'!$AK$3:$AX$31,MATCH($R10,'النصاب الكامل'!$AK$3:$AK$31,0),W$6)=0,"",INDEX('النصاب الكامل'!$AK$3:$AX$31,MATCH($R10,'النصاب الكامل'!$AK$3:$AK$31,0),W$6)))</f>
        <v>5</v>
      </c>
      <c r="X10" t="str">
        <f>IF($R10="","",IF(INDEX('النصاب الكامل'!$AK$3:$AX$31,MATCH($R10,'النصاب الكامل'!$AK$3:$AK$31,0),X$6)=0,"",INDEX('النصاب الكامل'!$AK$3:$AX$31,MATCH($R10,'النصاب الكامل'!$AK$3:$AK$31,0),X$6)))</f>
        <v/>
      </c>
      <c r="Y10" t="str">
        <f>IF($R10="","",IF(INDEX('النصاب الكامل'!$AK$3:$AX$31,MATCH($R10,'النصاب الكامل'!$AK$3:$AK$31,0),Y$6)=0,"",INDEX('النصاب الكامل'!$AK$3:$AX$31,MATCH($R10,'النصاب الكامل'!$AK$3:$AK$31,0),Y$6)))</f>
        <v/>
      </c>
      <c r="Z10" t="str">
        <f>IF($R10="","",IF(INDEX('النصاب الكامل'!$AK$3:$AX$31,MATCH($R10,'النصاب الكامل'!$AK$3:$AK$31,0),Z$6)=0,"",INDEX('النصاب الكامل'!$AK$3:$AX$31,MATCH($R10,'النصاب الكامل'!$AK$3:$AK$31,0),Z$6)))</f>
        <v/>
      </c>
      <c r="AA10" t="str">
        <f>IF($R10="","",IF(INDEX('النصاب الكامل'!$AK$3:$AX$31,MATCH($R10,'النصاب الكامل'!$AK$3:$AK$31,0),AA$6)=0,"",INDEX('النصاب الكامل'!$AK$3:$AX$31,MATCH($R10,'النصاب الكامل'!$AK$3:$AK$31,0),AA$6)))</f>
        <v/>
      </c>
      <c r="AB10" t="str">
        <f>IF($R10="","",IF(INDEX('النصاب الكامل'!$AK$3:$AX$31,MATCH($R10,'النصاب الكامل'!$AK$3:$AK$31,0),AB$6)=0,"",INDEX('النصاب الكامل'!$AK$3:$AX$31,MATCH($R10,'النصاب الكامل'!$AK$3:$AK$31,0),AB$6)))</f>
        <v/>
      </c>
      <c r="AC10" t="str">
        <f>IF($R10="","",IF(INDEX('النصاب الكامل'!$AK$3:$AX$31,MATCH($R10,'النصاب الكامل'!$AK$3:$AK$31,0),AC$6)=0,"",INDEX('النصاب الكامل'!$AK$3:$AX$31,MATCH($R10,'النصاب الكامل'!$AK$3:$AK$31,0),AC$6)))</f>
        <v/>
      </c>
      <c r="AD10" t="str">
        <f>IF($R10="","",IF(INDEX('النصاب الكامل'!$AK$3:$AX$31,MATCH($R10,'النصاب الكامل'!$AK$3:$AK$31,0),AD$6)=0,"",INDEX('النصاب الكامل'!$AK$3:$AX$31,MATCH($R10,'النصاب الكامل'!$AK$3:$AK$31,0),AD$6)))</f>
        <v/>
      </c>
      <c r="AE10" t="str">
        <f>IF($R10="","",IF(INDEX('النصاب الكامل'!$AK$3:$AX$31,MATCH($R10,'النصاب الكامل'!$AK$3:$AK$31,0),AE$6)=0,"",INDEX('النصاب الكامل'!$AK$3:$AX$31,MATCH($R10,'النصاب الكامل'!$AK$3:$AK$31,0),AE$6)))</f>
        <v/>
      </c>
      <c r="AG10" t="s">
        <v>49</v>
      </c>
      <c r="AH10">
        <v>7</v>
      </c>
      <c r="AI10" t="str">
        <f>IF($AH10="","",INDEX('النصاب الكامل'!$AK$3:$AX$31,MATCH($AH10,'النصاب الكامل'!$AK$3:$AK$31,0),AI$6))</f>
        <v>جبر الغزواني</v>
      </c>
      <c r="AJ10" t="str">
        <f>IF($AH10="","",IF(INDEX('النصاب الكامل'!$AK$3:$AX$31,MATCH($AH10,'النصاب الكامل'!$AK$3:$AK$31,0),AJ$6)=0,"",INDEX('النصاب الكامل'!$AK$3:$AX$31,MATCH($AH10,'النصاب الكامل'!$AK$3:$AK$31,0),AJ$6)))</f>
        <v/>
      </c>
      <c r="AK10" t="str">
        <f>IF($AH10="","",IF(INDEX('النصاب الكامل'!$AK$3:$AX$31,MATCH($AH10,'النصاب الكامل'!$AK$3:$AK$31,0),AK$6)=0,"",INDEX('النصاب الكامل'!$AK$3:$AX$31,MATCH($AH10,'النصاب الكامل'!$AK$3:$AK$31,0),AK$6)))</f>
        <v/>
      </c>
      <c r="AL10" t="str">
        <f>IF($AH10="","",IF(INDEX('النصاب الكامل'!$AK$3:$AX$31,MATCH($AH10,'النصاب الكامل'!$AK$3:$AK$31,0),AL$6)=0,"",INDEX('النصاب الكامل'!$AK$3:$AX$31,MATCH($AH10,'النصاب الكامل'!$AK$3:$AK$31,0),AL$6)))</f>
        <v/>
      </c>
      <c r="AM10" t="str">
        <f>IF($AH10="","",IF(INDEX('النصاب الكامل'!$AK$3:$AX$31,MATCH($AH10,'النصاب الكامل'!$AK$3:$AK$31,0),AM$6)=0,"",INDEX('النصاب الكامل'!$AK$3:$AX$31,MATCH($AH10,'النصاب الكامل'!$AK$3:$AK$31,0),AM$6)))</f>
        <v/>
      </c>
      <c r="AN10">
        <f>IF($AH10="","",IF(INDEX('النصاب الكامل'!$AK$3:$AX$31,MATCH($AH10,'النصاب الكامل'!$AK$3:$AK$31,0),AN$6)=0,"",INDEX('النصاب الكامل'!$AK$3:$AX$31,MATCH($AH10,'النصاب الكامل'!$AK$3:$AK$31,0),AN$6)))</f>
        <v>5</v>
      </c>
      <c r="AO10">
        <f>IF($AH10="","",IF(INDEX('النصاب الكامل'!$AK$3:$AX$31,MATCH($AH10,'النصاب الكامل'!$AK$3:$AK$31,0),AO$6)=0,"",INDEX('النصاب الكامل'!$AK$3:$AX$31,MATCH($AH10,'النصاب الكامل'!$AK$3:$AK$31,0),AO$6)))</f>
        <v>5</v>
      </c>
      <c r="AP10" t="str">
        <f>IF($AH10="","",IF(INDEX('النصاب الكامل'!$AK$3:$AX$31,MATCH($AH10,'النصاب الكامل'!$AK$3:$AK$31,0),AP$6)=0,"",INDEX('النصاب الكامل'!$AK$3:$AX$31,MATCH($AH10,'النصاب الكامل'!$AK$3:$AK$31,0),AP$6)))</f>
        <v/>
      </c>
      <c r="AQ10" t="str">
        <f>IF($AH10="","",IF(INDEX('النصاب الكامل'!$AK$3:$AX$31,MATCH($AH10,'النصاب الكامل'!$AK$3:$AK$31,0),AQ$6)=0,"",INDEX('النصاب الكامل'!$AK$3:$AX$31,MATCH($AH10,'النصاب الكامل'!$AK$3:$AK$31,0),AQ$6)))</f>
        <v/>
      </c>
      <c r="AR10" t="str">
        <f>IF($AH10="","",IF(INDEX('النصاب الكامل'!$AK$3:$AX$31,MATCH($AH10,'النصاب الكامل'!$AK$3:$AK$31,0),AR$6)=0,"",INDEX('النصاب الكامل'!$AK$3:$AX$31,MATCH($AH10,'النصاب الكامل'!$AK$3:$AK$31,0),AR$6)))</f>
        <v/>
      </c>
      <c r="AS10" t="str">
        <f>IF($AH10="","",IF(INDEX('النصاب الكامل'!$AK$3:$AX$31,MATCH($AH10,'النصاب الكامل'!$AK$3:$AK$31,0),AS$6)=0,"",INDEX('النصاب الكامل'!$AK$3:$AX$31,MATCH($AH10,'النصاب الكامل'!$AK$3:$AK$31,0),AS$6)))</f>
        <v/>
      </c>
      <c r="AT10" t="str">
        <f>IF($AH10="","",IF(INDEX('النصاب الكامل'!$AK$3:$AX$31,MATCH($AH10,'النصاب الكامل'!$AK$3:$AK$31,0),AT$6)=0,"",INDEX('النصاب الكامل'!$AK$3:$AX$31,MATCH($AH10,'النصاب الكامل'!$AK$3:$AK$31,0),AT$6)))</f>
        <v/>
      </c>
      <c r="AU10" t="str">
        <f>IF($AH10="","",IF(INDEX('النصاب الكامل'!$AK$3:$AX$31,MATCH($AH10,'النصاب الكامل'!$AK$3:$AK$31,0),AU$6)=0,"",INDEX('النصاب الكامل'!$AK$3:$AX$31,MATCH($AH10,'النصاب الكامل'!$AK$3:$AK$31,0),AU$6)))</f>
        <v/>
      </c>
      <c r="AW10">
        <f t="shared" si="3"/>
        <v>9</v>
      </c>
      <c r="AX10">
        <f>'النصاب الكامل'!A7</f>
        <v>5</v>
      </c>
      <c r="AY10" t="str">
        <f>'النصاب الكامل'!B7</f>
        <v>أبو عاصم</v>
      </c>
      <c r="AZ10" s="12">
        <f t="shared" si="4"/>
        <v>0</v>
      </c>
      <c r="BA10">
        <v>0</v>
      </c>
      <c r="BB10">
        <f t="shared" si="5"/>
        <v>0</v>
      </c>
    </row>
    <row r="11" spans="1:54" x14ac:dyDescent="0.45">
      <c r="A11" t="s">
        <v>50</v>
      </c>
      <c r="B11">
        <v>8</v>
      </c>
      <c r="C11" t="str">
        <f>IF($B11="","",INDEX('النصاب الكامل'!$AK$3:$AX$31,MATCH($B11,'النصاب الكامل'!$AK$3:$AK$31,0),C$6))</f>
        <v>حسين العثواني</v>
      </c>
      <c r="D11">
        <f>IF($B11="","",IF(INDEX('النصاب الكامل'!$AK$3:$AX$31,MATCH($B11,'النصاب الكامل'!$AK$3:$AK$31,0),D$6)=0,"",INDEX('النصاب الكامل'!$AK$3:$AX$31,MATCH($B11,'النصاب الكامل'!$AK$3:$AK$31,0),D$6)))</f>
        <v>4</v>
      </c>
      <c r="E11" t="str">
        <f>IF($B11="","",IF(INDEX('النصاب الكامل'!$AK$3:$AX$31,MATCH($B11,'النصاب الكامل'!$AK$3:$AK$31,0),E$6)=0,"",INDEX('النصاب الكامل'!$AK$3:$AX$31,MATCH($B11,'النصاب الكامل'!$AK$3:$AK$31,0),E$6)))</f>
        <v/>
      </c>
      <c r="F11" t="str">
        <f>IF($B11="","",IF(INDEX('النصاب الكامل'!$AK$3:$AX$31,MATCH($B11,'النصاب الكامل'!$AK$3:$AK$31,0),F$6)=0,"",INDEX('النصاب الكامل'!$AK$3:$AX$31,MATCH($B11,'النصاب الكامل'!$AK$3:$AK$31,0),F$6)))</f>
        <v/>
      </c>
      <c r="G11" t="str">
        <f>IF($B11="","",IF(INDEX('النصاب الكامل'!$AK$3:$AX$31,MATCH($B11,'النصاب الكامل'!$AK$3:$AK$31,0),G$6)=0,"",INDEX('النصاب الكامل'!$AK$3:$AX$31,MATCH($B11,'النصاب الكامل'!$AK$3:$AK$31,0),G$6)))</f>
        <v/>
      </c>
      <c r="H11" t="str">
        <f>IF($B11="","",IF(INDEX('النصاب الكامل'!$AK$3:$AX$31,MATCH($B11,'النصاب الكامل'!$AK$3:$AK$31,0),H$6)=0,"",INDEX('النصاب الكامل'!$AK$3:$AX$31,MATCH($B11,'النصاب الكامل'!$AK$3:$AK$31,0),H$6)))</f>
        <v/>
      </c>
      <c r="I11" t="str">
        <f>IF($B11="","",IF(INDEX('النصاب الكامل'!$AK$3:$AX$31,MATCH($B11,'النصاب الكامل'!$AK$3:$AK$31,0),I$6)=0,"",INDEX('النصاب الكامل'!$AK$3:$AX$31,MATCH($B11,'النصاب الكامل'!$AK$3:$AK$31,0),I$6)))</f>
        <v/>
      </c>
      <c r="J11" t="str">
        <f>IF($B11="","",IF(INDEX('النصاب الكامل'!$AK$3:$AX$31,MATCH($B11,'النصاب الكامل'!$AK$3:$AK$31,0),J$6)=0,"",INDEX('النصاب الكامل'!$AK$3:$AX$31,MATCH($B11,'النصاب الكامل'!$AK$3:$AK$31,0),J$6)))</f>
        <v/>
      </c>
      <c r="K11" t="str">
        <f>IF($B11="","",IF(INDEX('النصاب الكامل'!$AK$3:$AX$31,MATCH($B11,'النصاب الكامل'!$AK$3:$AK$31,0),K$6)=0,"",INDEX('النصاب الكامل'!$AK$3:$AX$31,MATCH($B11,'النصاب الكامل'!$AK$3:$AK$31,0),K$6)))</f>
        <v/>
      </c>
      <c r="L11">
        <f>IF($B11="","",IF(INDEX('النصاب الكامل'!$AK$3:$AX$31,MATCH($B11,'النصاب الكامل'!$AK$3:$AK$31,0),L$6)=0,"",INDEX('النصاب الكامل'!$AK$3:$AX$31,MATCH($B11,'النصاب الكامل'!$AK$3:$AK$31,0),L$6)))</f>
        <v>4</v>
      </c>
      <c r="M11">
        <f>IF($B11="","",IF(INDEX('النصاب الكامل'!$AK$3:$AX$31,MATCH($B11,'النصاب الكامل'!$AK$3:$AK$31,0),M$6)=0,"",INDEX('النصاب الكامل'!$AK$3:$AX$31,MATCH($B11,'النصاب الكامل'!$AK$3:$AK$31,0),M$6)))</f>
        <v>4</v>
      </c>
      <c r="N11" t="str">
        <f>IF($B11="","",IF(INDEX('النصاب الكامل'!$AK$3:$AX$31,MATCH($B11,'النصاب الكامل'!$AK$3:$AK$31,0),N$6)=0,"",INDEX('النصاب الكامل'!$AK$3:$AX$31,MATCH($B11,'النصاب الكامل'!$AK$3:$AK$31,0),N$6)))</f>
        <v/>
      </c>
      <c r="O11" t="str">
        <f>IF($B11="","",IF(INDEX('النصاب الكامل'!$AK$3:$AX$31,MATCH($B11,'النصاب الكامل'!$AK$3:$AK$31,0),O$6)=0,"",INDEX('النصاب الكامل'!$AK$3:$AX$31,MATCH($B11,'النصاب الكامل'!$AK$3:$AK$31,0),O$6)))</f>
        <v/>
      </c>
      <c r="Q11" t="s">
        <v>50</v>
      </c>
      <c r="R11">
        <v>7</v>
      </c>
      <c r="S11" t="str">
        <f>IF($R11="","",INDEX('النصاب الكامل'!$AK$3:$AX$31,MATCH($R11,'النصاب الكامل'!$AK$3:$AK$31,0),S$6))</f>
        <v>جبر الغزواني</v>
      </c>
      <c r="T11" t="str">
        <f>IF($R11="","",IF(INDEX('النصاب الكامل'!$AK$3:$AX$31,MATCH($R11,'النصاب الكامل'!$AK$3:$AK$31,0),T$6)=0,"",INDEX('النصاب الكامل'!$AK$3:$AX$31,MATCH($R11,'النصاب الكامل'!$AK$3:$AK$31,0),T$6)))</f>
        <v/>
      </c>
      <c r="U11" t="str">
        <f>IF($R11="","",IF(INDEX('النصاب الكامل'!$AK$3:$AX$31,MATCH($R11,'النصاب الكامل'!$AK$3:$AK$31,0),U$6)=0,"",INDEX('النصاب الكامل'!$AK$3:$AX$31,MATCH($R11,'النصاب الكامل'!$AK$3:$AK$31,0),U$6)))</f>
        <v/>
      </c>
      <c r="V11" t="str">
        <f>IF($R11="","",IF(INDEX('النصاب الكامل'!$AK$3:$AX$31,MATCH($R11,'النصاب الكامل'!$AK$3:$AK$31,0),V$6)=0,"",INDEX('النصاب الكامل'!$AK$3:$AX$31,MATCH($R11,'النصاب الكامل'!$AK$3:$AK$31,0),V$6)))</f>
        <v/>
      </c>
      <c r="W11" t="str">
        <f>IF($R11="","",IF(INDEX('النصاب الكامل'!$AK$3:$AX$31,MATCH($R11,'النصاب الكامل'!$AK$3:$AK$31,0),W$6)=0,"",INDEX('النصاب الكامل'!$AK$3:$AX$31,MATCH($R11,'النصاب الكامل'!$AK$3:$AK$31,0),W$6)))</f>
        <v/>
      </c>
      <c r="X11">
        <f>IF($R11="","",IF(INDEX('النصاب الكامل'!$AK$3:$AX$31,MATCH($R11,'النصاب الكامل'!$AK$3:$AK$31,0),X$6)=0,"",INDEX('النصاب الكامل'!$AK$3:$AX$31,MATCH($R11,'النصاب الكامل'!$AK$3:$AK$31,0),X$6)))</f>
        <v>5</v>
      </c>
      <c r="Y11">
        <f>IF($R11="","",IF(INDEX('النصاب الكامل'!$AK$3:$AX$31,MATCH($R11,'النصاب الكامل'!$AK$3:$AK$31,0),Y$6)=0,"",INDEX('النصاب الكامل'!$AK$3:$AX$31,MATCH($R11,'النصاب الكامل'!$AK$3:$AK$31,0),Y$6)))</f>
        <v>5</v>
      </c>
      <c r="Z11" t="str">
        <f>IF($R11="","",IF(INDEX('النصاب الكامل'!$AK$3:$AX$31,MATCH($R11,'النصاب الكامل'!$AK$3:$AK$31,0),Z$6)=0,"",INDEX('النصاب الكامل'!$AK$3:$AX$31,MATCH($R11,'النصاب الكامل'!$AK$3:$AK$31,0),Z$6)))</f>
        <v/>
      </c>
      <c r="AA11" t="str">
        <f>IF($R11="","",IF(INDEX('النصاب الكامل'!$AK$3:$AX$31,MATCH($R11,'النصاب الكامل'!$AK$3:$AK$31,0),AA$6)=0,"",INDEX('النصاب الكامل'!$AK$3:$AX$31,MATCH($R11,'النصاب الكامل'!$AK$3:$AK$31,0),AA$6)))</f>
        <v/>
      </c>
      <c r="AB11" t="str">
        <f>IF($R11="","",IF(INDEX('النصاب الكامل'!$AK$3:$AX$31,MATCH($R11,'النصاب الكامل'!$AK$3:$AK$31,0),AB$6)=0,"",INDEX('النصاب الكامل'!$AK$3:$AX$31,MATCH($R11,'النصاب الكامل'!$AK$3:$AK$31,0),AB$6)))</f>
        <v/>
      </c>
      <c r="AC11" t="str">
        <f>IF($R11="","",IF(INDEX('النصاب الكامل'!$AK$3:$AX$31,MATCH($R11,'النصاب الكامل'!$AK$3:$AK$31,0),AC$6)=0,"",INDEX('النصاب الكامل'!$AK$3:$AX$31,MATCH($R11,'النصاب الكامل'!$AK$3:$AK$31,0),AC$6)))</f>
        <v/>
      </c>
      <c r="AD11" t="str">
        <f>IF($R11="","",IF(INDEX('النصاب الكامل'!$AK$3:$AX$31,MATCH($R11,'النصاب الكامل'!$AK$3:$AK$31,0),AD$6)=0,"",INDEX('النصاب الكامل'!$AK$3:$AX$31,MATCH($R11,'النصاب الكامل'!$AK$3:$AK$31,0),AD$6)))</f>
        <v/>
      </c>
      <c r="AE11" t="str">
        <f>IF($R11="","",IF(INDEX('النصاب الكامل'!$AK$3:$AX$31,MATCH($R11,'النصاب الكامل'!$AK$3:$AK$31,0),AE$6)=0,"",INDEX('النصاب الكامل'!$AK$3:$AX$31,MATCH($R11,'النصاب الكامل'!$AK$3:$AK$31,0),AE$6)))</f>
        <v/>
      </c>
      <c r="AG11" t="s">
        <v>50</v>
      </c>
      <c r="AH11">
        <v>8</v>
      </c>
      <c r="AI11" t="str">
        <f>IF($AH11="","",INDEX('النصاب الكامل'!$AK$3:$AX$31,MATCH($AH11,'النصاب الكامل'!$AK$3:$AK$31,0),AI$6))</f>
        <v>حسين العثواني</v>
      </c>
      <c r="AJ11">
        <f>IF($AH11="","",IF(INDEX('النصاب الكامل'!$AK$3:$AX$31,MATCH($AH11,'النصاب الكامل'!$AK$3:$AK$31,0),AJ$6)=0,"",INDEX('النصاب الكامل'!$AK$3:$AX$31,MATCH($AH11,'النصاب الكامل'!$AK$3:$AK$31,0),AJ$6)))</f>
        <v>4</v>
      </c>
      <c r="AK11" t="str">
        <f>IF($AH11="","",IF(INDEX('النصاب الكامل'!$AK$3:$AX$31,MATCH($AH11,'النصاب الكامل'!$AK$3:$AK$31,0),AK$6)=0,"",INDEX('النصاب الكامل'!$AK$3:$AX$31,MATCH($AH11,'النصاب الكامل'!$AK$3:$AK$31,0),AK$6)))</f>
        <v/>
      </c>
      <c r="AL11" t="str">
        <f>IF($AH11="","",IF(INDEX('النصاب الكامل'!$AK$3:$AX$31,MATCH($AH11,'النصاب الكامل'!$AK$3:$AK$31,0),AL$6)=0,"",INDEX('النصاب الكامل'!$AK$3:$AX$31,MATCH($AH11,'النصاب الكامل'!$AK$3:$AK$31,0),AL$6)))</f>
        <v/>
      </c>
      <c r="AM11" t="str">
        <f>IF($AH11="","",IF(INDEX('النصاب الكامل'!$AK$3:$AX$31,MATCH($AH11,'النصاب الكامل'!$AK$3:$AK$31,0),AM$6)=0,"",INDEX('النصاب الكامل'!$AK$3:$AX$31,MATCH($AH11,'النصاب الكامل'!$AK$3:$AK$31,0),AM$6)))</f>
        <v/>
      </c>
      <c r="AN11" t="str">
        <f>IF($AH11="","",IF(INDEX('النصاب الكامل'!$AK$3:$AX$31,MATCH($AH11,'النصاب الكامل'!$AK$3:$AK$31,0),AN$6)=0,"",INDEX('النصاب الكامل'!$AK$3:$AX$31,MATCH($AH11,'النصاب الكامل'!$AK$3:$AK$31,0),AN$6)))</f>
        <v/>
      </c>
      <c r="AO11" t="str">
        <f>IF($AH11="","",IF(INDEX('النصاب الكامل'!$AK$3:$AX$31,MATCH($AH11,'النصاب الكامل'!$AK$3:$AK$31,0),AO$6)=0,"",INDEX('النصاب الكامل'!$AK$3:$AX$31,MATCH($AH11,'النصاب الكامل'!$AK$3:$AK$31,0),AO$6)))</f>
        <v/>
      </c>
      <c r="AP11" t="str">
        <f>IF($AH11="","",IF(INDEX('النصاب الكامل'!$AK$3:$AX$31,MATCH($AH11,'النصاب الكامل'!$AK$3:$AK$31,0),AP$6)=0,"",INDEX('النصاب الكامل'!$AK$3:$AX$31,MATCH($AH11,'النصاب الكامل'!$AK$3:$AK$31,0),AP$6)))</f>
        <v/>
      </c>
      <c r="AQ11" t="str">
        <f>IF($AH11="","",IF(INDEX('النصاب الكامل'!$AK$3:$AX$31,MATCH($AH11,'النصاب الكامل'!$AK$3:$AK$31,0),AQ$6)=0,"",INDEX('النصاب الكامل'!$AK$3:$AX$31,MATCH($AH11,'النصاب الكامل'!$AK$3:$AK$31,0),AQ$6)))</f>
        <v/>
      </c>
      <c r="AR11">
        <f>IF($AH11="","",IF(INDEX('النصاب الكامل'!$AK$3:$AX$31,MATCH($AH11,'النصاب الكامل'!$AK$3:$AK$31,0),AR$6)=0,"",INDEX('النصاب الكامل'!$AK$3:$AX$31,MATCH($AH11,'النصاب الكامل'!$AK$3:$AK$31,0),AR$6)))</f>
        <v>4</v>
      </c>
      <c r="AS11">
        <f>IF($AH11="","",IF(INDEX('النصاب الكامل'!$AK$3:$AX$31,MATCH($AH11,'النصاب الكامل'!$AK$3:$AK$31,0),AS$6)=0,"",INDEX('النصاب الكامل'!$AK$3:$AX$31,MATCH($AH11,'النصاب الكامل'!$AK$3:$AK$31,0),AS$6)))</f>
        <v>4</v>
      </c>
      <c r="AT11" t="str">
        <f>IF($AH11="","",IF(INDEX('النصاب الكامل'!$AK$3:$AX$31,MATCH($AH11,'النصاب الكامل'!$AK$3:$AK$31,0),AT$6)=0,"",INDEX('النصاب الكامل'!$AK$3:$AX$31,MATCH($AH11,'النصاب الكامل'!$AK$3:$AK$31,0),AT$6)))</f>
        <v/>
      </c>
      <c r="AU11" t="str">
        <f>IF($AH11="","",IF(INDEX('النصاب الكامل'!$AK$3:$AX$31,MATCH($AH11,'النصاب الكامل'!$AK$3:$AK$31,0),AU$6)=0,"",INDEX('النصاب الكامل'!$AK$3:$AX$31,MATCH($AH11,'النصاب الكامل'!$AK$3:$AK$31,0),AU$6)))</f>
        <v/>
      </c>
      <c r="AW11">
        <f t="shared" si="3"/>
        <v>10</v>
      </c>
      <c r="AX11">
        <f>'النصاب الكامل'!A8</f>
        <v>6</v>
      </c>
      <c r="AY11" t="str">
        <f>'النصاب الكامل'!B8</f>
        <v>علي اليحيوي</v>
      </c>
      <c r="AZ11" s="12">
        <f t="shared" si="4"/>
        <v>3</v>
      </c>
      <c r="BA11">
        <v>3</v>
      </c>
      <c r="BB11">
        <f t="shared" si="5"/>
        <v>0</v>
      </c>
    </row>
    <row r="12" spans="1:54" x14ac:dyDescent="0.45">
      <c r="A12" t="s">
        <v>51</v>
      </c>
      <c r="B12">
        <v>9</v>
      </c>
      <c r="C12" t="str">
        <f>IF($B12="","",INDEX('النصاب الكامل'!$AK$3:$AX$31,MATCH($B12,'النصاب الكامل'!$AK$3:$AK$31,0),C$6))</f>
        <v>احمد يحيى</v>
      </c>
      <c r="D12" t="str">
        <f>IF($B12="","",IF(INDEX('النصاب الكامل'!$AK$3:$AX$31,MATCH($B12,'النصاب الكامل'!$AK$3:$AK$31,0),D$6)=0,"",INDEX('النصاب الكامل'!$AK$3:$AX$31,MATCH($B12,'النصاب الكامل'!$AK$3:$AK$31,0),D$6)))</f>
        <v/>
      </c>
      <c r="E12" t="str">
        <f>IF($B12="","",IF(INDEX('النصاب الكامل'!$AK$3:$AX$31,MATCH($B12,'النصاب الكامل'!$AK$3:$AK$31,0),E$6)=0,"",INDEX('النصاب الكامل'!$AK$3:$AX$31,MATCH($B12,'النصاب الكامل'!$AK$3:$AK$31,0),E$6)))</f>
        <v/>
      </c>
      <c r="F12">
        <f>IF($B12="","",IF(INDEX('النصاب الكامل'!$AK$3:$AX$31,MATCH($B12,'النصاب الكامل'!$AK$3:$AK$31,0),F$6)=0,"",INDEX('النصاب الكامل'!$AK$3:$AX$31,MATCH($B12,'النصاب الكامل'!$AK$3:$AK$31,0),F$6)))</f>
        <v>6</v>
      </c>
      <c r="G12">
        <f>IF($B12="","",IF(INDEX('النصاب الكامل'!$AK$3:$AX$31,MATCH($B12,'النصاب الكامل'!$AK$3:$AK$31,0),G$6)=0,"",INDEX('النصاب الكامل'!$AK$3:$AX$31,MATCH($B12,'النصاب الكامل'!$AK$3:$AK$31,0),G$6)))</f>
        <v>6</v>
      </c>
      <c r="H12" t="str">
        <f>IF($B12="","",IF(INDEX('النصاب الكامل'!$AK$3:$AX$31,MATCH($B12,'النصاب الكامل'!$AK$3:$AK$31,0),H$6)=0,"",INDEX('النصاب الكامل'!$AK$3:$AX$31,MATCH($B12,'النصاب الكامل'!$AK$3:$AK$31,0),H$6)))</f>
        <v/>
      </c>
      <c r="I12" t="str">
        <f>IF($B12="","",IF(INDEX('النصاب الكامل'!$AK$3:$AX$31,MATCH($B12,'النصاب الكامل'!$AK$3:$AK$31,0),I$6)=0,"",INDEX('النصاب الكامل'!$AK$3:$AX$31,MATCH($B12,'النصاب الكامل'!$AK$3:$AK$31,0),I$6)))</f>
        <v/>
      </c>
      <c r="J12" t="str">
        <f>IF($B12="","",IF(INDEX('النصاب الكامل'!$AK$3:$AX$31,MATCH($B12,'النصاب الكامل'!$AK$3:$AK$31,0),J$6)=0,"",INDEX('النصاب الكامل'!$AK$3:$AX$31,MATCH($B12,'النصاب الكامل'!$AK$3:$AK$31,0),J$6)))</f>
        <v/>
      </c>
      <c r="K12" t="str">
        <f>IF($B12="","",IF(INDEX('النصاب الكامل'!$AK$3:$AX$31,MATCH($B12,'النصاب الكامل'!$AK$3:$AK$31,0),K$6)=0,"",INDEX('النصاب الكامل'!$AK$3:$AX$31,MATCH($B12,'النصاب الكامل'!$AK$3:$AK$31,0),K$6)))</f>
        <v/>
      </c>
      <c r="L12" t="str">
        <f>IF($B12="","",IF(INDEX('النصاب الكامل'!$AK$3:$AX$31,MATCH($B12,'النصاب الكامل'!$AK$3:$AK$31,0),L$6)=0,"",INDEX('النصاب الكامل'!$AK$3:$AX$31,MATCH($B12,'النصاب الكامل'!$AK$3:$AK$31,0),L$6)))</f>
        <v/>
      </c>
      <c r="M12" t="str">
        <f>IF($B12="","",IF(INDEX('النصاب الكامل'!$AK$3:$AX$31,MATCH($B12,'النصاب الكامل'!$AK$3:$AK$31,0),M$6)=0,"",INDEX('النصاب الكامل'!$AK$3:$AX$31,MATCH($B12,'النصاب الكامل'!$AK$3:$AK$31,0),M$6)))</f>
        <v/>
      </c>
      <c r="N12" t="str">
        <f>IF($B12="","",IF(INDEX('النصاب الكامل'!$AK$3:$AX$31,MATCH($B12,'النصاب الكامل'!$AK$3:$AK$31,0),N$6)=0,"",INDEX('النصاب الكامل'!$AK$3:$AX$31,MATCH($B12,'النصاب الكامل'!$AK$3:$AK$31,0),N$6)))</f>
        <v/>
      </c>
      <c r="O12" t="str">
        <f>IF($B12="","",IF(INDEX('النصاب الكامل'!$AK$3:$AX$31,MATCH($B12,'النصاب الكامل'!$AK$3:$AK$31,0),O$6)=0,"",INDEX('النصاب الكامل'!$AK$3:$AX$31,MATCH($B12,'النصاب الكامل'!$AK$3:$AK$31,0),O$6)))</f>
        <v/>
      </c>
      <c r="Q12" t="s">
        <v>51</v>
      </c>
      <c r="R12">
        <v>8</v>
      </c>
      <c r="S12" t="str">
        <f>IF($R12="","",INDEX('النصاب الكامل'!$AK$3:$AX$31,MATCH($R12,'النصاب الكامل'!$AK$3:$AK$31,0),S$6))</f>
        <v>حسين العثواني</v>
      </c>
      <c r="T12">
        <f>IF($R12="","",IF(INDEX('النصاب الكامل'!$AK$3:$AX$31,MATCH($R12,'النصاب الكامل'!$AK$3:$AK$31,0),T$6)=0,"",INDEX('النصاب الكامل'!$AK$3:$AX$31,MATCH($R12,'النصاب الكامل'!$AK$3:$AK$31,0),T$6)))</f>
        <v>4</v>
      </c>
      <c r="U12" t="str">
        <f>IF($R12="","",IF(INDEX('النصاب الكامل'!$AK$3:$AX$31,MATCH($R12,'النصاب الكامل'!$AK$3:$AK$31,0),U$6)=0,"",INDEX('النصاب الكامل'!$AK$3:$AX$31,MATCH($R12,'النصاب الكامل'!$AK$3:$AK$31,0),U$6)))</f>
        <v/>
      </c>
      <c r="V12" t="str">
        <f>IF($R12="","",IF(INDEX('النصاب الكامل'!$AK$3:$AX$31,MATCH($R12,'النصاب الكامل'!$AK$3:$AK$31,0),V$6)=0,"",INDEX('النصاب الكامل'!$AK$3:$AX$31,MATCH($R12,'النصاب الكامل'!$AK$3:$AK$31,0),V$6)))</f>
        <v/>
      </c>
      <c r="W12" t="str">
        <f>IF($R12="","",IF(INDEX('النصاب الكامل'!$AK$3:$AX$31,MATCH($R12,'النصاب الكامل'!$AK$3:$AK$31,0),W$6)=0,"",INDEX('النصاب الكامل'!$AK$3:$AX$31,MATCH($R12,'النصاب الكامل'!$AK$3:$AK$31,0),W$6)))</f>
        <v/>
      </c>
      <c r="X12" t="str">
        <f>IF($R12="","",IF(INDEX('النصاب الكامل'!$AK$3:$AX$31,MATCH($R12,'النصاب الكامل'!$AK$3:$AK$31,0),X$6)=0,"",INDEX('النصاب الكامل'!$AK$3:$AX$31,MATCH($R12,'النصاب الكامل'!$AK$3:$AK$31,0),X$6)))</f>
        <v/>
      </c>
      <c r="Y12" t="str">
        <f>IF($R12="","",IF(INDEX('النصاب الكامل'!$AK$3:$AX$31,MATCH($R12,'النصاب الكامل'!$AK$3:$AK$31,0),Y$6)=0,"",INDEX('النصاب الكامل'!$AK$3:$AX$31,MATCH($R12,'النصاب الكامل'!$AK$3:$AK$31,0),Y$6)))</f>
        <v/>
      </c>
      <c r="Z12" t="str">
        <f>IF($R12="","",IF(INDEX('النصاب الكامل'!$AK$3:$AX$31,MATCH($R12,'النصاب الكامل'!$AK$3:$AK$31,0),Z$6)=0,"",INDEX('النصاب الكامل'!$AK$3:$AX$31,MATCH($R12,'النصاب الكامل'!$AK$3:$AK$31,0),Z$6)))</f>
        <v/>
      </c>
      <c r="AA12" t="str">
        <f>IF($R12="","",IF(INDEX('النصاب الكامل'!$AK$3:$AX$31,MATCH($R12,'النصاب الكامل'!$AK$3:$AK$31,0),AA$6)=0,"",INDEX('النصاب الكامل'!$AK$3:$AX$31,MATCH($R12,'النصاب الكامل'!$AK$3:$AK$31,0),AA$6)))</f>
        <v/>
      </c>
      <c r="AB12">
        <f>IF($R12="","",IF(INDEX('النصاب الكامل'!$AK$3:$AX$31,MATCH($R12,'النصاب الكامل'!$AK$3:$AK$31,0),AB$6)=0,"",INDEX('النصاب الكامل'!$AK$3:$AX$31,MATCH($R12,'النصاب الكامل'!$AK$3:$AK$31,0),AB$6)))</f>
        <v>4</v>
      </c>
      <c r="AC12">
        <f>IF($R12="","",IF(INDEX('النصاب الكامل'!$AK$3:$AX$31,MATCH($R12,'النصاب الكامل'!$AK$3:$AK$31,0),AC$6)=0,"",INDEX('النصاب الكامل'!$AK$3:$AX$31,MATCH($R12,'النصاب الكامل'!$AK$3:$AK$31,0),AC$6)))</f>
        <v>4</v>
      </c>
      <c r="AD12" t="str">
        <f>IF($R12="","",IF(INDEX('النصاب الكامل'!$AK$3:$AX$31,MATCH($R12,'النصاب الكامل'!$AK$3:$AK$31,0),AD$6)=0,"",INDEX('النصاب الكامل'!$AK$3:$AX$31,MATCH($R12,'النصاب الكامل'!$AK$3:$AK$31,0),AD$6)))</f>
        <v/>
      </c>
      <c r="AE12" t="str">
        <f>IF($R12="","",IF(INDEX('النصاب الكامل'!$AK$3:$AX$31,MATCH($R12,'النصاب الكامل'!$AK$3:$AK$31,0),AE$6)=0,"",INDEX('النصاب الكامل'!$AK$3:$AX$31,MATCH($R12,'النصاب الكامل'!$AK$3:$AK$31,0),AE$6)))</f>
        <v/>
      </c>
      <c r="AG12" t="s">
        <v>51</v>
      </c>
      <c r="AH12">
        <v>11</v>
      </c>
      <c r="AI12" t="str">
        <f>IF($AH12="","",INDEX('النصاب الكامل'!$AK$3:$AX$31,MATCH($AH12,'النصاب الكامل'!$AK$3:$AK$31,0),AI$6))</f>
        <v>الفيدلي</v>
      </c>
      <c r="AJ12">
        <f>IF($AH12="","",IF(INDEX('النصاب الكامل'!$AK$3:$AX$31,MATCH($AH12,'النصاب الكامل'!$AK$3:$AK$31,0),AJ$6)=0,"",INDEX('النصاب الكامل'!$AK$3:$AX$31,MATCH($AH12,'النصاب الكامل'!$AK$3:$AK$31,0),AJ$6)))</f>
        <v>2</v>
      </c>
      <c r="AK12" t="str">
        <f>IF($AH12="","",IF(INDEX('النصاب الكامل'!$AK$3:$AX$31,MATCH($AH12,'النصاب الكامل'!$AK$3:$AK$31,0),AK$6)=0,"",INDEX('النصاب الكامل'!$AK$3:$AX$31,MATCH($AH12,'النصاب الكامل'!$AK$3:$AK$31,0),AK$6)))</f>
        <v/>
      </c>
      <c r="AL12">
        <f>IF($AH12="","",IF(INDEX('النصاب الكامل'!$AK$3:$AX$31,MATCH($AH12,'النصاب الكامل'!$AK$3:$AK$31,0),AL$6)=0,"",INDEX('النصاب الكامل'!$AK$3:$AX$31,MATCH($AH12,'النصاب الكامل'!$AK$3:$AK$31,0),AL$6)))</f>
        <v>2</v>
      </c>
      <c r="AM12">
        <f>IF($AH12="","",IF(INDEX('النصاب الكامل'!$AK$3:$AX$31,MATCH($AH12,'النصاب الكامل'!$AK$3:$AK$31,0),AM$6)=0,"",INDEX('النصاب الكامل'!$AK$3:$AX$31,MATCH($AH12,'النصاب الكامل'!$AK$3:$AK$31,0),AM$6)))</f>
        <v>2</v>
      </c>
      <c r="AN12">
        <f>IF($AH12="","",IF(INDEX('النصاب الكامل'!$AK$3:$AX$31,MATCH($AH12,'النصاب الكامل'!$AK$3:$AK$31,0),AN$6)=0,"",INDEX('النصاب الكامل'!$AK$3:$AX$31,MATCH($AH12,'النصاب الكامل'!$AK$3:$AK$31,0),AN$6)))</f>
        <v>2</v>
      </c>
      <c r="AO12">
        <f>IF($AH12="","",IF(INDEX('النصاب الكامل'!$AK$3:$AX$31,MATCH($AH12,'النصاب الكامل'!$AK$3:$AK$31,0),AO$6)=0,"",INDEX('النصاب الكامل'!$AK$3:$AX$31,MATCH($AH12,'النصاب الكامل'!$AK$3:$AK$31,0),AO$6)))</f>
        <v>2</v>
      </c>
      <c r="AP12" t="str">
        <f>IF($AH12="","",IF(INDEX('النصاب الكامل'!$AK$3:$AX$31,MATCH($AH12,'النصاب الكامل'!$AK$3:$AK$31,0),AP$6)=0,"",INDEX('النصاب الكامل'!$AK$3:$AX$31,MATCH($AH12,'النصاب الكامل'!$AK$3:$AK$31,0),AP$6)))</f>
        <v/>
      </c>
      <c r="AQ12" t="str">
        <f>IF($AH12="","",IF(INDEX('النصاب الكامل'!$AK$3:$AX$31,MATCH($AH12,'النصاب الكامل'!$AK$3:$AK$31,0),AQ$6)=0,"",INDEX('النصاب الكامل'!$AK$3:$AX$31,MATCH($AH12,'النصاب الكامل'!$AK$3:$AK$31,0),AQ$6)))</f>
        <v/>
      </c>
      <c r="AR12" t="str">
        <f>IF($AH12="","",IF(INDEX('النصاب الكامل'!$AK$3:$AX$31,MATCH($AH12,'النصاب الكامل'!$AK$3:$AK$31,0),AR$6)=0,"",INDEX('النصاب الكامل'!$AK$3:$AX$31,MATCH($AH12,'النصاب الكامل'!$AK$3:$AK$31,0),AR$6)))</f>
        <v/>
      </c>
      <c r="AS12" t="str">
        <f>IF($AH12="","",IF(INDEX('النصاب الكامل'!$AK$3:$AX$31,MATCH($AH12,'النصاب الكامل'!$AK$3:$AK$31,0),AS$6)=0,"",INDEX('النصاب الكامل'!$AK$3:$AX$31,MATCH($AH12,'النصاب الكامل'!$AK$3:$AK$31,0),AS$6)))</f>
        <v/>
      </c>
      <c r="AT12" t="str">
        <f>IF($AH12="","",IF(INDEX('النصاب الكامل'!$AK$3:$AX$31,MATCH($AH12,'النصاب الكامل'!$AK$3:$AK$31,0),AT$6)=0,"",INDEX('النصاب الكامل'!$AK$3:$AX$31,MATCH($AH12,'النصاب الكامل'!$AK$3:$AK$31,0),AT$6)))</f>
        <v/>
      </c>
      <c r="AU12" t="str">
        <f>IF($AH12="","",IF(INDEX('النصاب الكامل'!$AK$3:$AX$31,MATCH($AH12,'النصاب الكامل'!$AK$3:$AK$31,0),AU$6)=0,"",INDEX('النصاب الكامل'!$AK$3:$AX$31,MATCH($AH12,'النصاب الكامل'!$AK$3:$AK$31,0),AU$6)))</f>
        <v/>
      </c>
      <c r="AW12">
        <f t="shared" si="3"/>
        <v>11</v>
      </c>
      <c r="AX12">
        <f>'النصاب الكامل'!A9</f>
        <v>7</v>
      </c>
      <c r="AY12" t="str">
        <f>'النصاب الكامل'!B9</f>
        <v>جبر الغزواني</v>
      </c>
      <c r="AZ12" s="12">
        <f t="shared" si="4"/>
        <v>3</v>
      </c>
      <c r="BA12">
        <v>3</v>
      </c>
      <c r="BB12">
        <f t="shared" si="5"/>
        <v>0</v>
      </c>
    </row>
    <row r="13" spans="1:54" x14ac:dyDescent="0.45">
      <c r="A13" t="s">
        <v>52</v>
      </c>
      <c r="B13">
        <v>10</v>
      </c>
      <c r="C13" t="str">
        <f>IF($B13="","",INDEX('النصاب الكامل'!$AK$3:$AX$31,MATCH($B13,'النصاب الكامل'!$AK$3:$AK$31,0),C$6))</f>
        <v>سالم حردان</v>
      </c>
      <c r="D13">
        <f>IF($B13="","",IF(INDEX('النصاب الكامل'!$AK$3:$AX$31,MATCH($B13,'النصاب الكامل'!$AK$3:$AK$31,0),D$6)=0,"",INDEX('النصاب الكامل'!$AK$3:$AX$31,MATCH($B13,'النصاب الكامل'!$AK$3:$AK$31,0),D$6)))</f>
        <v>3</v>
      </c>
      <c r="E13" t="str">
        <f>IF($B13="","",IF(INDEX('النصاب الكامل'!$AK$3:$AX$31,MATCH($B13,'النصاب الكامل'!$AK$3:$AK$31,0),E$6)=0,"",INDEX('النصاب الكامل'!$AK$3:$AX$31,MATCH($B13,'النصاب الكامل'!$AK$3:$AK$31,0),E$6)))</f>
        <v/>
      </c>
      <c r="F13">
        <f>IF($B13="","",IF(INDEX('النصاب الكامل'!$AK$3:$AX$31,MATCH($B13,'النصاب الكامل'!$AK$3:$AK$31,0),F$6)=0,"",INDEX('النصاب الكامل'!$AK$3:$AX$31,MATCH($B13,'النصاب الكامل'!$AK$3:$AK$31,0),F$6)))</f>
        <v>3</v>
      </c>
      <c r="G13">
        <f>IF($B13="","",IF(INDEX('النصاب الكامل'!$AK$3:$AX$31,MATCH($B13,'النصاب الكامل'!$AK$3:$AK$31,0),G$6)=0,"",INDEX('النصاب الكامل'!$AK$3:$AX$31,MATCH($B13,'النصاب الكامل'!$AK$3:$AK$31,0),G$6)))</f>
        <v>3</v>
      </c>
      <c r="H13" t="str">
        <f>IF($B13="","",IF(INDEX('النصاب الكامل'!$AK$3:$AX$31,MATCH($B13,'النصاب الكامل'!$AK$3:$AK$31,0),H$6)=0,"",INDEX('النصاب الكامل'!$AK$3:$AX$31,MATCH($B13,'النصاب الكامل'!$AK$3:$AK$31,0),H$6)))</f>
        <v/>
      </c>
      <c r="I13" t="str">
        <f>IF($B13="","",IF(INDEX('النصاب الكامل'!$AK$3:$AX$31,MATCH($B13,'النصاب الكامل'!$AK$3:$AK$31,0),I$6)=0,"",INDEX('النصاب الكامل'!$AK$3:$AX$31,MATCH($B13,'النصاب الكامل'!$AK$3:$AK$31,0),I$6)))</f>
        <v/>
      </c>
      <c r="J13" t="str">
        <f>IF($B13="","",IF(INDEX('النصاب الكامل'!$AK$3:$AX$31,MATCH($B13,'النصاب الكامل'!$AK$3:$AK$31,0),J$6)=0,"",INDEX('النصاب الكامل'!$AK$3:$AX$31,MATCH($B13,'النصاب الكامل'!$AK$3:$AK$31,0),J$6)))</f>
        <v/>
      </c>
      <c r="K13" t="str">
        <f>IF($B13="","",IF(INDEX('النصاب الكامل'!$AK$3:$AX$31,MATCH($B13,'النصاب الكامل'!$AK$3:$AK$31,0),K$6)=0,"",INDEX('النصاب الكامل'!$AK$3:$AX$31,MATCH($B13,'النصاب الكامل'!$AK$3:$AK$31,0),K$6)))</f>
        <v/>
      </c>
      <c r="L13" t="str">
        <f>IF($B13="","",IF(INDEX('النصاب الكامل'!$AK$3:$AX$31,MATCH($B13,'النصاب الكامل'!$AK$3:$AK$31,0),L$6)=0,"",INDEX('النصاب الكامل'!$AK$3:$AX$31,MATCH($B13,'النصاب الكامل'!$AK$3:$AK$31,0),L$6)))</f>
        <v/>
      </c>
      <c r="M13" t="str">
        <f>IF($B13="","",IF(INDEX('النصاب الكامل'!$AK$3:$AX$31,MATCH($B13,'النصاب الكامل'!$AK$3:$AK$31,0),M$6)=0,"",INDEX('النصاب الكامل'!$AK$3:$AX$31,MATCH($B13,'النصاب الكامل'!$AK$3:$AK$31,0),M$6)))</f>
        <v/>
      </c>
      <c r="N13" t="str">
        <f>IF($B13="","",IF(INDEX('النصاب الكامل'!$AK$3:$AX$31,MATCH($B13,'النصاب الكامل'!$AK$3:$AK$31,0),N$6)=0,"",INDEX('النصاب الكامل'!$AK$3:$AX$31,MATCH($B13,'النصاب الكامل'!$AK$3:$AK$31,0),N$6)))</f>
        <v/>
      </c>
      <c r="O13" t="str">
        <f>IF($B13="","",IF(INDEX('النصاب الكامل'!$AK$3:$AX$31,MATCH($B13,'النصاب الكامل'!$AK$3:$AK$31,0),O$6)=0,"",INDEX('النصاب الكامل'!$AK$3:$AX$31,MATCH($B13,'النصاب الكامل'!$AK$3:$AK$31,0),O$6)))</f>
        <v/>
      </c>
      <c r="Q13" t="s">
        <v>52</v>
      </c>
      <c r="R13">
        <v>10</v>
      </c>
      <c r="S13" t="str">
        <f>IF($R13="","",INDEX('النصاب الكامل'!$AK$3:$AX$31,MATCH($R13,'النصاب الكامل'!$AK$3:$AK$31,0),S$6))</f>
        <v>سالم حردان</v>
      </c>
      <c r="T13">
        <f>IF($R13="","",IF(INDEX('النصاب الكامل'!$AK$3:$AX$31,MATCH($R13,'النصاب الكامل'!$AK$3:$AK$31,0),T$6)=0,"",INDEX('النصاب الكامل'!$AK$3:$AX$31,MATCH($R13,'النصاب الكامل'!$AK$3:$AK$31,0),T$6)))</f>
        <v>3</v>
      </c>
      <c r="U13" t="str">
        <f>IF($R13="","",IF(INDEX('النصاب الكامل'!$AK$3:$AX$31,MATCH($R13,'النصاب الكامل'!$AK$3:$AK$31,0),U$6)=0,"",INDEX('النصاب الكامل'!$AK$3:$AX$31,MATCH($R13,'النصاب الكامل'!$AK$3:$AK$31,0),U$6)))</f>
        <v/>
      </c>
      <c r="V13">
        <f>IF($R13="","",IF(INDEX('النصاب الكامل'!$AK$3:$AX$31,MATCH($R13,'النصاب الكامل'!$AK$3:$AK$31,0),V$6)=0,"",INDEX('النصاب الكامل'!$AK$3:$AX$31,MATCH($R13,'النصاب الكامل'!$AK$3:$AK$31,0),V$6)))</f>
        <v>3</v>
      </c>
      <c r="W13">
        <f>IF($R13="","",IF(INDEX('النصاب الكامل'!$AK$3:$AX$31,MATCH($R13,'النصاب الكامل'!$AK$3:$AK$31,0),W$6)=0,"",INDEX('النصاب الكامل'!$AK$3:$AX$31,MATCH($R13,'النصاب الكامل'!$AK$3:$AK$31,0),W$6)))</f>
        <v>3</v>
      </c>
      <c r="X13" t="str">
        <f>IF($R13="","",IF(INDEX('النصاب الكامل'!$AK$3:$AX$31,MATCH($R13,'النصاب الكامل'!$AK$3:$AK$31,0),X$6)=0,"",INDEX('النصاب الكامل'!$AK$3:$AX$31,MATCH($R13,'النصاب الكامل'!$AK$3:$AK$31,0),X$6)))</f>
        <v/>
      </c>
      <c r="Y13" t="str">
        <f>IF($R13="","",IF(INDEX('النصاب الكامل'!$AK$3:$AX$31,MATCH($R13,'النصاب الكامل'!$AK$3:$AK$31,0),Y$6)=0,"",INDEX('النصاب الكامل'!$AK$3:$AX$31,MATCH($R13,'النصاب الكامل'!$AK$3:$AK$31,0),Y$6)))</f>
        <v/>
      </c>
      <c r="Z13" t="str">
        <f>IF($R13="","",IF(INDEX('النصاب الكامل'!$AK$3:$AX$31,MATCH($R13,'النصاب الكامل'!$AK$3:$AK$31,0),Z$6)=0,"",INDEX('النصاب الكامل'!$AK$3:$AX$31,MATCH($R13,'النصاب الكامل'!$AK$3:$AK$31,0),Z$6)))</f>
        <v/>
      </c>
      <c r="AA13" t="str">
        <f>IF($R13="","",IF(INDEX('النصاب الكامل'!$AK$3:$AX$31,MATCH($R13,'النصاب الكامل'!$AK$3:$AK$31,0),AA$6)=0,"",INDEX('النصاب الكامل'!$AK$3:$AX$31,MATCH($R13,'النصاب الكامل'!$AK$3:$AK$31,0),AA$6)))</f>
        <v/>
      </c>
      <c r="AB13" t="str">
        <f>IF($R13="","",IF(INDEX('النصاب الكامل'!$AK$3:$AX$31,MATCH($R13,'النصاب الكامل'!$AK$3:$AK$31,0),AB$6)=0,"",INDEX('النصاب الكامل'!$AK$3:$AX$31,MATCH($R13,'النصاب الكامل'!$AK$3:$AK$31,0),AB$6)))</f>
        <v/>
      </c>
      <c r="AC13" t="str">
        <f>IF($R13="","",IF(INDEX('النصاب الكامل'!$AK$3:$AX$31,MATCH($R13,'النصاب الكامل'!$AK$3:$AK$31,0),AC$6)=0,"",INDEX('النصاب الكامل'!$AK$3:$AX$31,MATCH($R13,'النصاب الكامل'!$AK$3:$AK$31,0),AC$6)))</f>
        <v/>
      </c>
      <c r="AD13" t="str">
        <f>IF($R13="","",IF(INDEX('النصاب الكامل'!$AK$3:$AX$31,MATCH($R13,'النصاب الكامل'!$AK$3:$AK$31,0),AD$6)=0,"",INDEX('النصاب الكامل'!$AK$3:$AX$31,MATCH($R13,'النصاب الكامل'!$AK$3:$AK$31,0),AD$6)))</f>
        <v/>
      </c>
      <c r="AE13" t="str">
        <f>IF($R13="","",IF(INDEX('النصاب الكامل'!$AK$3:$AX$31,MATCH($R13,'النصاب الكامل'!$AK$3:$AK$31,0),AE$6)=0,"",INDEX('النصاب الكامل'!$AK$3:$AX$31,MATCH($R13,'النصاب الكامل'!$AK$3:$AK$31,0),AE$6)))</f>
        <v/>
      </c>
      <c r="AG13" t="s">
        <v>52</v>
      </c>
      <c r="AH13">
        <v>16</v>
      </c>
      <c r="AI13" t="str">
        <f>IF($AH13="","",INDEX('النصاب الكامل'!$AK$3:$AX$31,MATCH($AH13,'النصاب الكامل'!$AK$3:$AK$31,0),AI$6))</f>
        <v>ماهر</v>
      </c>
      <c r="AJ13">
        <f>IF($AH13="","",IF(INDEX('النصاب الكامل'!$AK$3:$AX$31,MATCH($AH13,'النصاب الكامل'!$AK$3:$AK$31,0),AJ$6)=0,"",INDEX('النصاب الكامل'!$AK$3:$AX$31,MATCH($AH13,'النصاب الكامل'!$AK$3:$AK$31,0),AJ$6)))</f>
        <v>2</v>
      </c>
      <c r="AK13" t="str">
        <f>IF($AH13="","",IF(INDEX('النصاب الكامل'!$AK$3:$AX$31,MATCH($AH13,'النصاب الكامل'!$AK$3:$AK$31,0),AK$6)=0,"",INDEX('النصاب الكامل'!$AK$3:$AX$31,MATCH($AH13,'النصاب الكامل'!$AK$3:$AK$31,0),AK$6)))</f>
        <v/>
      </c>
      <c r="AL13">
        <f>IF($AH13="","",IF(INDEX('النصاب الكامل'!$AK$3:$AX$31,MATCH($AH13,'النصاب الكامل'!$AK$3:$AK$31,0),AL$6)=0,"",INDEX('النصاب الكامل'!$AK$3:$AX$31,MATCH($AH13,'النصاب الكامل'!$AK$3:$AK$31,0),AL$6)))</f>
        <v>2</v>
      </c>
      <c r="AM13">
        <f>IF($AH13="","",IF(INDEX('النصاب الكامل'!$AK$3:$AX$31,MATCH($AH13,'النصاب الكامل'!$AK$3:$AK$31,0),AM$6)=0,"",INDEX('النصاب الكامل'!$AK$3:$AX$31,MATCH($AH13,'النصاب الكامل'!$AK$3:$AK$31,0),AM$6)))</f>
        <v>2</v>
      </c>
      <c r="AN13">
        <f>IF($AH13="","",IF(INDEX('النصاب الكامل'!$AK$3:$AX$31,MATCH($AH13,'النصاب الكامل'!$AK$3:$AK$31,0),AN$6)=0,"",INDEX('النصاب الكامل'!$AK$3:$AX$31,MATCH($AH13,'النصاب الكامل'!$AK$3:$AK$31,0),AN$6)))</f>
        <v>2</v>
      </c>
      <c r="AO13">
        <f>IF($AH13="","",IF(INDEX('النصاب الكامل'!$AK$3:$AX$31,MATCH($AH13,'النصاب الكامل'!$AK$3:$AK$31,0),AO$6)=0,"",INDEX('النصاب الكامل'!$AK$3:$AX$31,MATCH($AH13,'النصاب الكامل'!$AK$3:$AK$31,0),AO$6)))</f>
        <v>2</v>
      </c>
      <c r="AP13">
        <f>IF($AH13="","",IF(INDEX('النصاب الكامل'!$AK$3:$AX$31,MATCH($AH13,'النصاب الكامل'!$AK$3:$AK$31,0),AP$6)=0,"",INDEX('النصاب الكامل'!$AK$3:$AX$31,MATCH($AH13,'النصاب الكامل'!$AK$3:$AK$31,0),AP$6)))</f>
        <v>3</v>
      </c>
      <c r="AQ13">
        <f>IF($AH13="","",IF(INDEX('النصاب الكامل'!$AK$3:$AX$31,MATCH($AH13,'النصاب الكامل'!$AK$3:$AK$31,0),AQ$6)=0,"",INDEX('النصاب الكامل'!$AK$3:$AX$31,MATCH($AH13,'النصاب الكامل'!$AK$3:$AK$31,0),AQ$6)))</f>
        <v>3</v>
      </c>
      <c r="AR13" t="str">
        <f>IF($AH13="","",IF(INDEX('النصاب الكامل'!$AK$3:$AX$31,MATCH($AH13,'النصاب الكامل'!$AK$3:$AK$31,0),AR$6)=0,"",INDEX('النصاب الكامل'!$AK$3:$AX$31,MATCH($AH13,'النصاب الكامل'!$AK$3:$AK$31,0),AR$6)))</f>
        <v/>
      </c>
      <c r="AS13" t="str">
        <f>IF($AH13="","",IF(INDEX('النصاب الكامل'!$AK$3:$AX$31,MATCH($AH13,'النصاب الكامل'!$AK$3:$AK$31,0),AS$6)=0,"",INDEX('النصاب الكامل'!$AK$3:$AX$31,MATCH($AH13,'النصاب الكامل'!$AK$3:$AK$31,0),AS$6)))</f>
        <v/>
      </c>
      <c r="AT13">
        <f>IF($AH13="","",IF(INDEX('النصاب الكامل'!$AK$3:$AX$31,MATCH($AH13,'النصاب الكامل'!$AK$3:$AK$31,0),AT$6)=0,"",INDEX('النصاب الكامل'!$AK$3:$AX$31,MATCH($AH13,'النصاب الكامل'!$AK$3:$AK$31,0),AT$6)))</f>
        <v>2</v>
      </c>
      <c r="AU13">
        <f>IF($AH13="","",IF(INDEX('النصاب الكامل'!$AK$3:$AX$31,MATCH($AH13,'النصاب الكامل'!$AK$3:$AK$31,0),AU$6)=0,"",INDEX('النصاب الكامل'!$AK$3:$AX$31,MATCH($AH13,'النصاب الكامل'!$AK$3:$AK$31,0),AU$6)))</f>
        <v>2</v>
      </c>
      <c r="AW13">
        <f t="shared" si="3"/>
        <v>16</v>
      </c>
      <c r="AX13">
        <f>'النصاب الكامل'!A10</f>
        <v>8</v>
      </c>
      <c r="AY13" t="str">
        <f>'النصاب الكامل'!B10</f>
        <v>حسين العثواني</v>
      </c>
      <c r="AZ13" s="12">
        <f t="shared" si="4"/>
        <v>3</v>
      </c>
      <c r="BA13">
        <v>3</v>
      </c>
      <c r="BB13">
        <f t="shared" si="5"/>
        <v>0</v>
      </c>
    </row>
    <row r="14" spans="1:54" x14ac:dyDescent="0.45">
      <c r="A14" t="s">
        <v>53</v>
      </c>
      <c r="B14">
        <v>11</v>
      </c>
      <c r="C14" t="str">
        <f>IF($B14="","",INDEX('النصاب الكامل'!$AK$3:$AX$31,MATCH($B14,'النصاب الكامل'!$AK$3:$AK$31,0),C$6))</f>
        <v>الفيدلي</v>
      </c>
      <c r="D14">
        <f>IF($B14="","",IF(INDEX('النصاب الكامل'!$AK$3:$AX$31,MATCH($B14,'النصاب الكامل'!$AK$3:$AK$31,0),D$6)=0,"",INDEX('النصاب الكامل'!$AK$3:$AX$31,MATCH($B14,'النصاب الكامل'!$AK$3:$AK$31,0),D$6)))</f>
        <v>2</v>
      </c>
      <c r="E14" t="str">
        <f>IF($B14="","",IF(INDEX('النصاب الكامل'!$AK$3:$AX$31,MATCH($B14,'النصاب الكامل'!$AK$3:$AK$31,0),E$6)=0,"",INDEX('النصاب الكامل'!$AK$3:$AX$31,MATCH($B14,'النصاب الكامل'!$AK$3:$AK$31,0),E$6)))</f>
        <v/>
      </c>
      <c r="F14">
        <f>IF($B14="","",IF(INDEX('النصاب الكامل'!$AK$3:$AX$31,MATCH($B14,'النصاب الكامل'!$AK$3:$AK$31,0),F$6)=0,"",INDEX('النصاب الكامل'!$AK$3:$AX$31,MATCH($B14,'النصاب الكامل'!$AK$3:$AK$31,0),F$6)))</f>
        <v>2</v>
      </c>
      <c r="G14">
        <f>IF($B14="","",IF(INDEX('النصاب الكامل'!$AK$3:$AX$31,MATCH($B14,'النصاب الكامل'!$AK$3:$AK$31,0),G$6)=0,"",INDEX('النصاب الكامل'!$AK$3:$AX$31,MATCH($B14,'النصاب الكامل'!$AK$3:$AK$31,0),G$6)))</f>
        <v>2</v>
      </c>
      <c r="H14">
        <f>IF($B14="","",IF(INDEX('النصاب الكامل'!$AK$3:$AX$31,MATCH($B14,'النصاب الكامل'!$AK$3:$AK$31,0),H$6)=0,"",INDEX('النصاب الكامل'!$AK$3:$AX$31,MATCH($B14,'النصاب الكامل'!$AK$3:$AK$31,0),H$6)))</f>
        <v>2</v>
      </c>
      <c r="I14">
        <f>IF($B14="","",IF(INDEX('النصاب الكامل'!$AK$3:$AX$31,MATCH($B14,'النصاب الكامل'!$AK$3:$AK$31,0),I$6)=0,"",INDEX('النصاب الكامل'!$AK$3:$AX$31,MATCH($B14,'النصاب الكامل'!$AK$3:$AK$31,0),I$6)))</f>
        <v>2</v>
      </c>
      <c r="J14" t="str">
        <f>IF($B14="","",IF(INDEX('النصاب الكامل'!$AK$3:$AX$31,MATCH($B14,'النصاب الكامل'!$AK$3:$AK$31,0),J$6)=0,"",INDEX('النصاب الكامل'!$AK$3:$AX$31,MATCH($B14,'النصاب الكامل'!$AK$3:$AK$31,0),J$6)))</f>
        <v/>
      </c>
      <c r="K14" t="str">
        <f>IF($B14="","",IF(INDEX('النصاب الكامل'!$AK$3:$AX$31,MATCH($B14,'النصاب الكامل'!$AK$3:$AK$31,0),K$6)=0,"",INDEX('النصاب الكامل'!$AK$3:$AX$31,MATCH($B14,'النصاب الكامل'!$AK$3:$AK$31,0),K$6)))</f>
        <v/>
      </c>
      <c r="L14" t="str">
        <f>IF($B14="","",IF(INDEX('النصاب الكامل'!$AK$3:$AX$31,MATCH($B14,'النصاب الكامل'!$AK$3:$AK$31,0),L$6)=0,"",INDEX('النصاب الكامل'!$AK$3:$AX$31,MATCH($B14,'النصاب الكامل'!$AK$3:$AK$31,0),L$6)))</f>
        <v/>
      </c>
      <c r="M14" t="str">
        <f>IF($B14="","",IF(INDEX('النصاب الكامل'!$AK$3:$AX$31,MATCH($B14,'النصاب الكامل'!$AK$3:$AK$31,0),M$6)=0,"",INDEX('النصاب الكامل'!$AK$3:$AX$31,MATCH($B14,'النصاب الكامل'!$AK$3:$AK$31,0),M$6)))</f>
        <v/>
      </c>
      <c r="N14" t="str">
        <f>IF($B14="","",IF(INDEX('النصاب الكامل'!$AK$3:$AX$31,MATCH($B14,'النصاب الكامل'!$AK$3:$AK$31,0),N$6)=0,"",INDEX('النصاب الكامل'!$AK$3:$AX$31,MATCH($B14,'النصاب الكامل'!$AK$3:$AK$31,0),N$6)))</f>
        <v/>
      </c>
      <c r="O14" t="str">
        <f>IF($B14="","",IF(INDEX('النصاب الكامل'!$AK$3:$AX$31,MATCH($B14,'النصاب الكامل'!$AK$3:$AK$31,0),O$6)=0,"",INDEX('النصاب الكامل'!$AK$3:$AX$31,MATCH($B14,'النصاب الكامل'!$AK$3:$AK$31,0),O$6)))</f>
        <v/>
      </c>
      <c r="Q14" t="s">
        <v>53</v>
      </c>
      <c r="R14">
        <v>12</v>
      </c>
      <c r="S14" t="str">
        <f>IF($R14="","",INDEX('النصاب الكامل'!$AK$3:$AX$31,MATCH($R14,'النصاب الكامل'!$AK$3:$AK$31,0),S$6))</f>
        <v>يحيى العزي</v>
      </c>
      <c r="T14" t="str">
        <f>IF($R14="","",IF(INDEX('النصاب الكامل'!$AK$3:$AX$31,MATCH($R14,'النصاب الكامل'!$AK$3:$AK$31,0),T$6)=0,"",INDEX('النصاب الكامل'!$AK$3:$AX$31,MATCH($R14,'النصاب الكامل'!$AK$3:$AK$31,0),T$6)))</f>
        <v/>
      </c>
      <c r="U14" t="str">
        <f>IF($R14="","",IF(INDEX('النصاب الكامل'!$AK$3:$AX$31,MATCH($R14,'النصاب الكامل'!$AK$3:$AK$31,0),U$6)=0,"",INDEX('النصاب الكامل'!$AK$3:$AX$31,MATCH($R14,'النصاب الكامل'!$AK$3:$AK$31,0),U$6)))</f>
        <v/>
      </c>
      <c r="V14" t="str">
        <f>IF($R14="","",IF(INDEX('النصاب الكامل'!$AK$3:$AX$31,MATCH($R14,'النصاب الكامل'!$AK$3:$AK$31,0),V$6)=0,"",INDEX('النصاب الكامل'!$AK$3:$AX$31,MATCH($R14,'النصاب الكامل'!$AK$3:$AK$31,0),V$6)))</f>
        <v/>
      </c>
      <c r="W14" t="str">
        <f>IF($R14="","",IF(INDEX('النصاب الكامل'!$AK$3:$AX$31,MATCH($R14,'النصاب الكامل'!$AK$3:$AK$31,0),W$6)=0,"",INDEX('النصاب الكامل'!$AK$3:$AX$31,MATCH($R14,'النصاب الكامل'!$AK$3:$AK$31,0),W$6)))</f>
        <v/>
      </c>
      <c r="X14">
        <f>IF($R14="","",IF(INDEX('النصاب الكامل'!$AK$3:$AX$31,MATCH($R14,'النصاب الكامل'!$AK$3:$AK$31,0),X$6)=0,"",INDEX('النصاب الكامل'!$AK$3:$AX$31,MATCH($R14,'النصاب الكامل'!$AK$3:$AK$31,0),X$6)))</f>
        <v>4</v>
      </c>
      <c r="Y14">
        <f>IF($R14="","",IF(INDEX('النصاب الكامل'!$AK$3:$AX$31,MATCH($R14,'النصاب الكامل'!$AK$3:$AK$31,0),Y$6)=0,"",INDEX('النصاب الكامل'!$AK$3:$AX$31,MATCH($R14,'النصاب الكامل'!$AK$3:$AK$31,0),Y$6)))</f>
        <v>4</v>
      </c>
      <c r="Z14">
        <f>IF($R14="","",IF(INDEX('النصاب الكامل'!$AK$3:$AX$31,MATCH($R14,'النصاب الكامل'!$AK$3:$AK$31,0),Z$6)=0,"",INDEX('النصاب الكامل'!$AK$3:$AX$31,MATCH($R14,'النصاب الكامل'!$AK$3:$AK$31,0),Z$6)))</f>
        <v>5</v>
      </c>
      <c r="AA14">
        <f>IF($R14="","",IF(INDEX('النصاب الكامل'!$AK$3:$AX$31,MATCH($R14,'النصاب الكامل'!$AK$3:$AK$31,0),AA$6)=0,"",INDEX('النصاب الكامل'!$AK$3:$AX$31,MATCH($R14,'النصاب الكامل'!$AK$3:$AK$31,0),AA$6)))</f>
        <v>5</v>
      </c>
      <c r="AB14" t="str">
        <f>IF($R14="","",IF(INDEX('النصاب الكامل'!$AK$3:$AX$31,MATCH($R14,'النصاب الكامل'!$AK$3:$AK$31,0),AB$6)=0,"",INDEX('النصاب الكامل'!$AK$3:$AX$31,MATCH($R14,'النصاب الكامل'!$AK$3:$AK$31,0),AB$6)))</f>
        <v/>
      </c>
      <c r="AC14" t="str">
        <f>IF($R14="","",IF(INDEX('النصاب الكامل'!$AK$3:$AX$31,MATCH($R14,'النصاب الكامل'!$AK$3:$AK$31,0),AC$6)=0,"",INDEX('النصاب الكامل'!$AK$3:$AX$31,MATCH($R14,'النصاب الكامل'!$AK$3:$AK$31,0),AC$6)))</f>
        <v/>
      </c>
      <c r="AD14" t="str">
        <f>IF($R14="","",IF(INDEX('النصاب الكامل'!$AK$3:$AX$31,MATCH($R14,'النصاب الكامل'!$AK$3:$AK$31,0),AD$6)=0,"",INDEX('النصاب الكامل'!$AK$3:$AX$31,MATCH($R14,'النصاب الكامل'!$AK$3:$AK$31,0),AD$6)))</f>
        <v/>
      </c>
      <c r="AE14" t="str">
        <f>IF($R14="","",IF(INDEX('النصاب الكامل'!$AK$3:$AX$31,MATCH($R14,'النصاب الكامل'!$AK$3:$AK$31,0),AE$6)=0,"",INDEX('النصاب الكامل'!$AK$3:$AX$31,MATCH($R14,'النصاب الكامل'!$AK$3:$AK$31,0),AE$6)))</f>
        <v/>
      </c>
      <c r="AG14" t="s">
        <v>53</v>
      </c>
      <c r="AH14">
        <v>18</v>
      </c>
      <c r="AI14" t="str">
        <f>IF($AH14="","",INDEX('النصاب الكامل'!$AK$3:$AX$31,MATCH($AH14,'النصاب الكامل'!$AK$3:$AK$31,0),AI$6))</f>
        <v>سالم يحيى</v>
      </c>
      <c r="AJ14" t="str">
        <f>IF($AH14="","",IF(INDEX('النصاب الكامل'!$AK$3:$AX$31,MATCH($AH14,'النصاب الكامل'!$AK$3:$AK$31,0),AJ$6)=0,"",INDEX('النصاب الكامل'!$AK$3:$AX$31,MATCH($AH14,'النصاب الكامل'!$AK$3:$AK$31,0),AJ$6)))</f>
        <v/>
      </c>
      <c r="AK14" t="str">
        <f>IF($AH14="","",IF(INDEX('النصاب الكامل'!$AK$3:$AX$31,MATCH($AH14,'النصاب الكامل'!$AK$3:$AK$31,0),AK$6)=0,"",INDEX('النصاب الكامل'!$AK$3:$AX$31,MATCH($AH14,'النصاب الكامل'!$AK$3:$AK$31,0),AK$6)))</f>
        <v/>
      </c>
      <c r="AL14" t="str">
        <f>IF($AH14="","",IF(INDEX('النصاب الكامل'!$AK$3:$AX$31,MATCH($AH14,'النصاب الكامل'!$AK$3:$AK$31,0),AL$6)=0,"",INDEX('النصاب الكامل'!$AK$3:$AX$31,MATCH($AH14,'النصاب الكامل'!$AK$3:$AK$31,0),AL$6)))</f>
        <v/>
      </c>
      <c r="AM14" t="str">
        <f>IF($AH14="","",IF(INDEX('النصاب الكامل'!$AK$3:$AX$31,MATCH($AH14,'النصاب الكامل'!$AK$3:$AK$31,0),AM$6)=0,"",INDEX('النصاب الكامل'!$AK$3:$AX$31,MATCH($AH14,'النصاب الكامل'!$AK$3:$AK$31,0),AM$6)))</f>
        <v/>
      </c>
      <c r="AN14" t="str">
        <f>IF($AH14="","",IF(INDEX('النصاب الكامل'!$AK$3:$AX$31,MATCH($AH14,'النصاب الكامل'!$AK$3:$AK$31,0),AN$6)=0,"",INDEX('النصاب الكامل'!$AK$3:$AX$31,MATCH($AH14,'النصاب الكامل'!$AK$3:$AK$31,0),AN$6)))</f>
        <v/>
      </c>
      <c r="AO14" t="str">
        <f>IF($AH14="","",IF(INDEX('النصاب الكامل'!$AK$3:$AX$31,MATCH($AH14,'النصاب الكامل'!$AK$3:$AK$31,0),AO$6)=0,"",INDEX('النصاب الكامل'!$AK$3:$AX$31,MATCH($AH14,'النصاب الكامل'!$AK$3:$AK$31,0),AO$6)))</f>
        <v/>
      </c>
      <c r="AP14">
        <f>IF($AH14="","",IF(INDEX('النصاب الكامل'!$AK$3:$AX$31,MATCH($AH14,'النصاب الكامل'!$AK$3:$AK$31,0),AP$6)=0,"",INDEX('النصاب الكامل'!$AK$3:$AX$31,MATCH($AH14,'النصاب الكامل'!$AK$3:$AK$31,0),AP$6)))</f>
        <v>4</v>
      </c>
      <c r="AQ14">
        <f>IF($AH14="","",IF(INDEX('النصاب الكامل'!$AK$3:$AX$31,MATCH($AH14,'النصاب الكامل'!$AK$3:$AK$31,0),AQ$6)=0,"",INDEX('النصاب الكامل'!$AK$3:$AX$31,MATCH($AH14,'النصاب الكامل'!$AK$3:$AK$31,0),AQ$6)))</f>
        <v>4</v>
      </c>
      <c r="AR14">
        <f>IF($AH14="","",IF(INDEX('النصاب الكامل'!$AK$3:$AX$31,MATCH($AH14,'النصاب الكامل'!$AK$3:$AK$31,0),AR$6)=0,"",INDEX('النصاب الكامل'!$AK$3:$AX$31,MATCH($AH14,'النصاب الكامل'!$AK$3:$AK$31,0),AR$6)))</f>
        <v>4</v>
      </c>
      <c r="AS14">
        <f>IF($AH14="","",IF(INDEX('النصاب الكامل'!$AK$3:$AX$31,MATCH($AH14,'النصاب الكامل'!$AK$3:$AK$31,0),AS$6)=0,"",INDEX('النصاب الكامل'!$AK$3:$AX$31,MATCH($AH14,'النصاب الكامل'!$AK$3:$AK$31,0),AS$6)))</f>
        <v>4</v>
      </c>
      <c r="AT14" t="str">
        <f>IF($AH14="","",IF(INDEX('النصاب الكامل'!$AK$3:$AX$31,MATCH($AH14,'النصاب الكامل'!$AK$3:$AK$31,0),AT$6)=0,"",INDEX('النصاب الكامل'!$AK$3:$AX$31,MATCH($AH14,'النصاب الكامل'!$AK$3:$AK$31,0),AT$6)))</f>
        <v/>
      </c>
      <c r="AU14" t="str">
        <f>IF($AH14="","",IF(INDEX('النصاب الكامل'!$AK$3:$AX$31,MATCH($AH14,'النصاب الكامل'!$AK$3:$AK$31,0),AU$6)=0,"",INDEX('النصاب الكامل'!$AK$3:$AX$31,MATCH($AH14,'النصاب الكامل'!$AK$3:$AK$31,0),AU$6)))</f>
        <v/>
      </c>
      <c r="AW14">
        <f t="shared" si="3"/>
        <v>18</v>
      </c>
      <c r="AX14">
        <f>'النصاب الكامل'!A11</f>
        <v>9</v>
      </c>
      <c r="AY14" t="str">
        <f>'النصاب الكامل'!B11</f>
        <v>احمد يحيى</v>
      </c>
      <c r="AZ14" s="12">
        <f t="shared" si="4"/>
        <v>2</v>
      </c>
      <c r="BA14">
        <v>2</v>
      </c>
      <c r="BB14">
        <f t="shared" si="5"/>
        <v>0</v>
      </c>
    </row>
    <row r="15" spans="1:54" x14ac:dyDescent="0.45">
      <c r="A15" t="s">
        <v>54</v>
      </c>
      <c r="B15">
        <v>16</v>
      </c>
      <c r="C15" t="str">
        <f>IF($B15="","",INDEX('النصاب الكامل'!$AK$3:$AX$31,MATCH($B15,'النصاب الكامل'!$AK$3:$AK$31,0),C$6))</f>
        <v>ماهر</v>
      </c>
      <c r="D15">
        <f>IF($B15="","",IF(INDEX('النصاب الكامل'!$AK$3:$AX$31,MATCH($B15,'النصاب الكامل'!$AK$3:$AK$31,0),D$6)=0,"",INDEX('النصاب الكامل'!$AK$3:$AX$31,MATCH($B15,'النصاب الكامل'!$AK$3:$AK$31,0),D$6)))</f>
        <v>2</v>
      </c>
      <c r="E15" t="str">
        <f>IF($B15="","",IF(INDEX('النصاب الكامل'!$AK$3:$AX$31,MATCH($B15,'النصاب الكامل'!$AK$3:$AK$31,0),E$6)=0,"",INDEX('النصاب الكامل'!$AK$3:$AX$31,MATCH($B15,'النصاب الكامل'!$AK$3:$AK$31,0),E$6)))</f>
        <v/>
      </c>
      <c r="F15">
        <f>IF($B15="","",IF(INDEX('النصاب الكامل'!$AK$3:$AX$31,MATCH($B15,'النصاب الكامل'!$AK$3:$AK$31,0),F$6)=0,"",INDEX('النصاب الكامل'!$AK$3:$AX$31,MATCH($B15,'النصاب الكامل'!$AK$3:$AK$31,0),F$6)))</f>
        <v>2</v>
      </c>
      <c r="G15">
        <f>IF($B15="","",IF(INDEX('النصاب الكامل'!$AK$3:$AX$31,MATCH($B15,'النصاب الكامل'!$AK$3:$AK$31,0),G$6)=0,"",INDEX('النصاب الكامل'!$AK$3:$AX$31,MATCH($B15,'النصاب الكامل'!$AK$3:$AK$31,0),G$6)))</f>
        <v>2</v>
      </c>
      <c r="H15">
        <f>IF($B15="","",IF(INDEX('النصاب الكامل'!$AK$3:$AX$31,MATCH($B15,'النصاب الكامل'!$AK$3:$AK$31,0),H$6)=0,"",INDEX('النصاب الكامل'!$AK$3:$AX$31,MATCH($B15,'النصاب الكامل'!$AK$3:$AK$31,0),H$6)))</f>
        <v>2</v>
      </c>
      <c r="I15">
        <f>IF($B15="","",IF(INDEX('النصاب الكامل'!$AK$3:$AX$31,MATCH($B15,'النصاب الكامل'!$AK$3:$AK$31,0),I$6)=0,"",INDEX('النصاب الكامل'!$AK$3:$AX$31,MATCH($B15,'النصاب الكامل'!$AK$3:$AK$31,0),I$6)))</f>
        <v>2</v>
      </c>
      <c r="J15">
        <f>IF($B15="","",IF(INDEX('النصاب الكامل'!$AK$3:$AX$31,MATCH($B15,'النصاب الكامل'!$AK$3:$AK$31,0),J$6)=0,"",INDEX('النصاب الكامل'!$AK$3:$AX$31,MATCH($B15,'النصاب الكامل'!$AK$3:$AK$31,0),J$6)))</f>
        <v>3</v>
      </c>
      <c r="K15">
        <f>IF($B15="","",IF(INDEX('النصاب الكامل'!$AK$3:$AX$31,MATCH($B15,'النصاب الكامل'!$AK$3:$AK$31,0),K$6)=0,"",INDEX('النصاب الكامل'!$AK$3:$AX$31,MATCH($B15,'النصاب الكامل'!$AK$3:$AK$31,0),K$6)))</f>
        <v>3</v>
      </c>
      <c r="L15" t="str">
        <f>IF($B15="","",IF(INDEX('النصاب الكامل'!$AK$3:$AX$31,MATCH($B15,'النصاب الكامل'!$AK$3:$AK$31,0),L$6)=0,"",INDEX('النصاب الكامل'!$AK$3:$AX$31,MATCH($B15,'النصاب الكامل'!$AK$3:$AK$31,0),L$6)))</f>
        <v/>
      </c>
      <c r="M15" t="str">
        <f>IF($B15="","",IF(INDEX('النصاب الكامل'!$AK$3:$AX$31,MATCH($B15,'النصاب الكامل'!$AK$3:$AK$31,0),M$6)=0,"",INDEX('النصاب الكامل'!$AK$3:$AX$31,MATCH($B15,'النصاب الكامل'!$AK$3:$AK$31,0),M$6)))</f>
        <v/>
      </c>
      <c r="N15">
        <f>IF($B15="","",IF(INDEX('النصاب الكامل'!$AK$3:$AX$31,MATCH($B15,'النصاب الكامل'!$AK$3:$AK$31,0),N$6)=0,"",INDEX('النصاب الكامل'!$AK$3:$AX$31,MATCH($B15,'النصاب الكامل'!$AK$3:$AK$31,0),N$6)))</f>
        <v>2</v>
      </c>
      <c r="O15">
        <f>IF($B15="","",IF(INDEX('النصاب الكامل'!$AK$3:$AX$31,MATCH($B15,'النصاب الكامل'!$AK$3:$AK$31,0),O$6)=0,"",INDEX('النصاب الكامل'!$AK$3:$AX$31,MATCH($B15,'النصاب الكامل'!$AK$3:$AK$31,0),O$6)))</f>
        <v>2</v>
      </c>
      <c r="Q15" t="s">
        <v>54</v>
      </c>
      <c r="R15">
        <v>16</v>
      </c>
      <c r="S15" t="str">
        <f>IF($R15="","",INDEX('النصاب الكامل'!$AK$3:$AX$31,MATCH($R15,'النصاب الكامل'!$AK$3:$AK$31,0),S$6))</f>
        <v>ماهر</v>
      </c>
      <c r="T15">
        <f>IF($R15="","",IF(INDEX('النصاب الكامل'!$AK$3:$AX$31,MATCH($R15,'النصاب الكامل'!$AK$3:$AK$31,0),T$6)=0,"",INDEX('النصاب الكامل'!$AK$3:$AX$31,MATCH($R15,'النصاب الكامل'!$AK$3:$AK$31,0),T$6)))</f>
        <v>2</v>
      </c>
      <c r="U15" t="str">
        <f>IF($R15="","",IF(INDEX('النصاب الكامل'!$AK$3:$AX$31,MATCH($R15,'النصاب الكامل'!$AK$3:$AK$31,0),U$6)=0,"",INDEX('النصاب الكامل'!$AK$3:$AX$31,MATCH($R15,'النصاب الكامل'!$AK$3:$AK$31,0),U$6)))</f>
        <v/>
      </c>
      <c r="V15">
        <f>IF($R15="","",IF(INDEX('النصاب الكامل'!$AK$3:$AX$31,MATCH($R15,'النصاب الكامل'!$AK$3:$AK$31,0),V$6)=0,"",INDEX('النصاب الكامل'!$AK$3:$AX$31,MATCH($R15,'النصاب الكامل'!$AK$3:$AK$31,0),V$6)))</f>
        <v>2</v>
      </c>
      <c r="W15">
        <f>IF($R15="","",IF(INDEX('النصاب الكامل'!$AK$3:$AX$31,MATCH($R15,'النصاب الكامل'!$AK$3:$AK$31,0),W$6)=0,"",INDEX('النصاب الكامل'!$AK$3:$AX$31,MATCH($R15,'النصاب الكامل'!$AK$3:$AK$31,0),W$6)))</f>
        <v>2</v>
      </c>
      <c r="X15">
        <f>IF($R15="","",IF(INDEX('النصاب الكامل'!$AK$3:$AX$31,MATCH($R15,'النصاب الكامل'!$AK$3:$AK$31,0),X$6)=0,"",INDEX('النصاب الكامل'!$AK$3:$AX$31,MATCH($R15,'النصاب الكامل'!$AK$3:$AK$31,0),X$6)))</f>
        <v>2</v>
      </c>
      <c r="Y15">
        <f>IF($R15="","",IF(INDEX('النصاب الكامل'!$AK$3:$AX$31,MATCH($R15,'النصاب الكامل'!$AK$3:$AK$31,0),Y$6)=0,"",INDEX('النصاب الكامل'!$AK$3:$AX$31,MATCH($R15,'النصاب الكامل'!$AK$3:$AK$31,0),Y$6)))</f>
        <v>2</v>
      </c>
      <c r="Z15">
        <f>IF($R15="","",IF(INDEX('النصاب الكامل'!$AK$3:$AX$31,MATCH($R15,'النصاب الكامل'!$AK$3:$AK$31,0),Z$6)=0,"",INDEX('النصاب الكامل'!$AK$3:$AX$31,MATCH($R15,'النصاب الكامل'!$AK$3:$AK$31,0),Z$6)))</f>
        <v>3</v>
      </c>
      <c r="AA15">
        <f>IF($R15="","",IF(INDEX('النصاب الكامل'!$AK$3:$AX$31,MATCH($R15,'النصاب الكامل'!$AK$3:$AK$31,0),AA$6)=0,"",INDEX('النصاب الكامل'!$AK$3:$AX$31,MATCH($R15,'النصاب الكامل'!$AK$3:$AK$31,0),AA$6)))</f>
        <v>3</v>
      </c>
      <c r="AB15" t="str">
        <f>IF($R15="","",IF(INDEX('النصاب الكامل'!$AK$3:$AX$31,MATCH($R15,'النصاب الكامل'!$AK$3:$AK$31,0),AB$6)=0,"",INDEX('النصاب الكامل'!$AK$3:$AX$31,MATCH($R15,'النصاب الكامل'!$AK$3:$AK$31,0),AB$6)))</f>
        <v/>
      </c>
      <c r="AC15" t="str">
        <f>IF($R15="","",IF(INDEX('النصاب الكامل'!$AK$3:$AX$31,MATCH($R15,'النصاب الكامل'!$AK$3:$AK$31,0),AC$6)=0,"",INDEX('النصاب الكامل'!$AK$3:$AX$31,MATCH($R15,'النصاب الكامل'!$AK$3:$AK$31,0),AC$6)))</f>
        <v/>
      </c>
      <c r="AD15">
        <f>IF($R15="","",IF(INDEX('النصاب الكامل'!$AK$3:$AX$31,MATCH($R15,'النصاب الكامل'!$AK$3:$AK$31,0),AD$6)=0,"",INDEX('النصاب الكامل'!$AK$3:$AX$31,MATCH($R15,'النصاب الكامل'!$AK$3:$AK$31,0),AD$6)))</f>
        <v>2</v>
      </c>
      <c r="AE15">
        <f>IF($R15="","",IF(INDEX('النصاب الكامل'!$AK$3:$AX$31,MATCH($R15,'النصاب الكامل'!$AK$3:$AK$31,0),AE$6)=0,"",INDEX('النصاب الكامل'!$AK$3:$AX$31,MATCH($R15,'النصاب الكامل'!$AK$3:$AK$31,0),AE$6)))</f>
        <v>2</v>
      </c>
      <c r="AG15" t="s">
        <v>54</v>
      </c>
      <c r="AH15">
        <v>19</v>
      </c>
      <c r="AI15" t="str">
        <f>IF($AH15="","",INDEX('النصاب الكامل'!$AK$3:$AX$31,MATCH($AH15,'النصاب الكامل'!$AK$3:$AK$31,0),AI$6))</f>
        <v>محمود</v>
      </c>
      <c r="AJ15" t="str">
        <f>IF($AH15="","",IF(INDEX('النصاب الكامل'!$AK$3:$AX$31,MATCH($AH15,'النصاب الكامل'!$AK$3:$AK$31,0),AJ$6)=0,"",INDEX('النصاب الكامل'!$AK$3:$AX$31,MATCH($AH15,'النصاب الكامل'!$AK$3:$AK$31,0),AJ$6)))</f>
        <v/>
      </c>
      <c r="AK15" t="str">
        <f>IF($AH15="","",IF(INDEX('النصاب الكامل'!$AK$3:$AX$31,MATCH($AH15,'النصاب الكامل'!$AK$3:$AK$31,0),AK$6)=0,"",INDEX('النصاب الكامل'!$AK$3:$AX$31,MATCH($AH15,'النصاب الكامل'!$AK$3:$AK$31,0),AK$6)))</f>
        <v/>
      </c>
      <c r="AL15" t="str">
        <f>IF($AH15="","",IF(INDEX('النصاب الكامل'!$AK$3:$AX$31,MATCH($AH15,'النصاب الكامل'!$AK$3:$AK$31,0),AL$6)=0,"",INDEX('النصاب الكامل'!$AK$3:$AX$31,MATCH($AH15,'النصاب الكامل'!$AK$3:$AK$31,0),AL$6)))</f>
        <v/>
      </c>
      <c r="AM15" t="str">
        <f>IF($AH15="","",IF(INDEX('النصاب الكامل'!$AK$3:$AX$31,MATCH($AH15,'النصاب الكامل'!$AK$3:$AK$31,0),AM$6)=0,"",INDEX('النصاب الكامل'!$AK$3:$AX$31,MATCH($AH15,'النصاب الكامل'!$AK$3:$AK$31,0),AM$6)))</f>
        <v/>
      </c>
      <c r="AN15" t="str">
        <f>IF($AH15="","",IF(INDEX('النصاب الكامل'!$AK$3:$AX$31,MATCH($AH15,'النصاب الكامل'!$AK$3:$AK$31,0),AN$6)=0,"",INDEX('النصاب الكامل'!$AK$3:$AX$31,MATCH($AH15,'النصاب الكامل'!$AK$3:$AK$31,0),AN$6)))</f>
        <v/>
      </c>
      <c r="AO15" t="str">
        <f>IF($AH15="","",IF(INDEX('النصاب الكامل'!$AK$3:$AX$31,MATCH($AH15,'النصاب الكامل'!$AK$3:$AK$31,0),AO$6)=0,"",INDEX('النصاب الكامل'!$AK$3:$AX$31,MATCH($AH15,'النصاب الكامل'!$AK$3:$AK$31,0),AO$6)))</f>
        <v/>
      </c>
      <c r="AP15" t="str">
        <f>IF($AH15="","",IF(INDEX('النصاب الكامل'!$AK$3:$AX$31,MATCH($AH15,'النصاب الكامل'!$AK$3:$AK$31,0),AP$6)=0,"",INDEX('النصاب الكامل'!$AK$3:$AX$31,MATCH($AH15,'النصاب الكامل'!$AK$3:$AK$31,0),AP$6)))</f>
        <v/>
      </c>
      <c r="AQ15" t="str">
        <f>IF($AH15="","",IF(INDEX('النصاب الكامل'!$AK$3:$AX$31,MATCH($AH15,'النصاب الكامل'!$AK$3:$AK$31,0),AQ$6)=0,"",INDEX('النصاب الكامل'!$AK$3:$AX$31,MATCH($AH15,'النصاب الكامل'!$AK$3:$AK$31,0),AQ$6)))</f>
        <v/>
      </c>
      <c r="AR15" t="str">
        <f>IF($AH15="","",IF(INDEX('النصاب الكامل'!$AK$3:$AX$31,MATCH($AH15,'النصاب الكامل'!$AK$3:$AK$31,0),AR$6)=0,"",INDEX('النصاب الكامل'!$AK$3:$AX$31,MATCH($AH15,'النصاب الكامل'!$AK$3:$AK$31,0),AR$6)))</f>
        <v/>
      </c>
      <c r="AS15" t="str">
        <f>IF($AH15="","",IF(INDEX('النصاب الكامل'!$AK$3:$AX$31,MATCH($AH15,'النصاب الكامل'!$AK$3:$AK$31,0),AS$6)=0,"",INDEX('النصاب الكامل'!$AK$3:$AX$31,MATCH($AH15,'النصاب الكامل'!$AK$3:$AK$31,0),AS$6)))</f>
        <v/>
      </c>
      <c r="AT15">
        <f>IF($AH15="","",IF(INDEX('النصاب الكامل'!$AK$3:$AX$31,MATCH($AH15,'النصاب الكامل'!$AK$3:$AK$31,0),AT$6)=0,"",INDEX('النصاب الكامل'!$AK$3:$AX$31,MATCH($AH15,'النصاب الكامل'!$AK$3:$AK$31,0),AT$6)))</f>
        <v>5</v>
      </c>
      <c r="AU15">
        <f>IF($AH15="","",IF(INDEX('النصاب الكامل'!$AK$3:$AX$31,MATCH($AH15,'النصاب الكامل'!$AK$3:$AK$31,0),AU$6)=0,"",INDEX('النصاب الكامل'!$AK$3:$AX$31,MATCH($AH15,'النصاب الكامل'!$AK$3:$AK$31,0),AU$6)))</f>
        <v>5</v>
      </c>
      <c r="AW15">
        <f t="shared" si="3"/>
        <v>19</v>
      </c>
      <c r="AX15">
        <f>'النصاب الكامل'!A12</f>
        <v>10</v>
      </c>
      <c r="AY15" t="str">
        <f>'النصاب الكامل'!B12</f>
        <v>سالم حردان</v>
      </c>
      <c r="AZ15" s="12">
        <f t="shared" si="4"/>
        <v>3</v>
      </c>
      <c r="BA15">
        <v>3</v>
      </c>
      <c r="BB15">
        <f t="shared" si="5"/>
        <v>0</v>
      </c>
    </row>
    <row r="16" spans="1:54" x14ac:dyDescent="0.45">
      <c r="A16" t="s">
        <v>55</v>
      </c>
      <c r="B16">
        <v>18</v>
      </c>
      <c r="C16" t="str">
        <f>IF($B16="","",INDEX('النصاب الكامل'!$AK$3:$AX$31,MATCH($B16,'النصاب الكامل'!$AK$3:$AK$31,0),C$6))</f>
        <v>سالم يحيى</v>
      </c>
      <c r="D16" t="str">
        <f>IF($B16="","",IF(INDEX('النصاب الكامل'!$AK$3:$AX$31,MATCH($B16,'النصاب الكامل'!$AK$3:$AK$31,0),D$6)=0,"",INDEX('النصاب الكامل'!$AK$3:$AX$31,MATCH($B16,'النصاب الكامل'!$AK$3:$AK$31,0),D$6)))</f>
        <v/>
      </c>
      <c r="E16" t="str">
        <f>IF($B16="","",IF(INDEX('النصاب الكامل'!$AK$3:$AX$31,MATCH($B16,'النصاب الكامل'!$AK$3:$AK$31,0),E$6)=0,"",INDEX('النصاب الكامل'!$AK$3:$AX$31,MATCH($B16,'النصاب الكامل'!$AK$3:$AK$31,0),E$6)))</f>
        <v/>
      </c>
      <c r="F16" t="str">
        <f>IF($B16="","",IF(INDEX('النصاب الكامل'!$AK$3:$AX$31,MATCH($B16,'النصاب الكامل'!$AK$3:$AK$31,0),F$6)=0,"",INDEX('النصاب الكامل'!$AK$3:$AX$31,MATCH($B16,'النصاب الكامل'!$AK$3:$AK$31,0),F$6)))</f>
        <v/>
      </c>
      <c r="G16" t="str">
        <f>IF($B16="","",IF(INDEX('النصاب الكامل'!$AK$3:$AX$31,MATCH($B16,'النصاب الكامل'!$AK$3:$AK$31,0),G$6)=0,"",INDEX('النصاب الكامل'!$AK$3:$AX$31,MATCH($B16,'النصاب الكامل'!$AK$3:$AK$31,0),G$6)))</f>
        <v/>
      </c>
      <c r="H16" t="str">
        <f>IF($B16="","",IF(INDEX('النصاب الكامل'!$AK$3:$AX$31,MATCH($B16,'النصاب الكامل'!$AK$3:$AK$31,0),H$6)=0,"",INDEX('النصاب الكامل'!$AK$3:$AX$31,MATCH($B16,'النصاب الكامل'!$AK$3:$AK$31,0),H$6)))</f>
        <v/>
      </c>
      <c r="I16" t="str">
        <f>IF($B16="","",IF(INDEX('النصاب الكامل'!$AK$3:$AX$31,MATCH($B16,'النصاب الكامل'!$AK$3:$AK$31,0),I$6)=0,"",INDEX('النصاب الكامل'!$AK$3:$AX$31,MATCH($B16,'النصاب الكامل'!$AK$3:$AK$31,0),I$6)))</f>
        <v/>
      </c>
      <c r="J16">
        <f>IF($B16="","",IF(INDEX('النصاب الكامل'!$AK$3:$AX$31,MATCH($B16,'النصاب الكامل'!$AK$3:$AK$31,0),J$6)=0,"",INDEX('النصاب الكامل'!$AK$3:$AX$31,MATCH($B16,'النصاب الكامل'!$AK$3:$AK$31,0),J$6)))</f>
        <v>4</v>
      </c>
      <c r="K16">
        <f>IF($B16="","",IF(INDEX('النصاب الكامل'!$AK$3:$AX$31,MATCH($B16,'النصاب الكامل'!$AK$3:$AK$31,0),K$6)=0,"",INDEX('النصاب الكامل'!$AK$3:$AX$31,MATCH($B16,'النصاب الكامل'!$AK$3:$AK$31,0),K$6)))</f>
        <v>4</v>
      </c>
      <c r="L16">
        <f>IF($B16="","",IF(INDEX('النصاب الكامل'!$AK$3:$AX$31,MATCH($B16,'النصاب الكامل'!$AK$3:$AK$31,0),L$6)=0,"",INDEX('النصاب الكامل'!$AK$3:$AX$31,MATCH($B16,'النصاب الكامل'!$AK$3:$AK$31,0),L$6)))</f>
        <v>4</v>
      </c>
      <c r="M16">
        <f>IF($B16="","",IF(INDEX('النصاب الكامل'!$AK$3:$AX$31,MATCH($B16,'النصاب الكامل'!$AK$3:$AK$31,0),M$6)=0,"",INDEX('النصاب الكامل'!$AK$3:$AX$31,MATCH($B16,'النصاب الكامل'!$AK$3:$AK$31,0),M$6)))</f>
        <v>4</v>
      </c>
      <c r="N16" t="str">
        <f>IF($B16="","",IF(INDEX('النصاب الكامل'!$AK$3:$AX$31,MATCH($B16,'النصاب الكامل'!$AK$3:$AK$31,0),N$6)=0,"",INDEX('النصاب الكامل'!$AK$3:$AX$31,MATCH($B16,'النصاب الكامل'!$AK$3:$AK$31,0),N$6)))</f>
        <v/>
      </c>
      <c r="O16" t="str">
        <f>IF($B16="","",IF(INDEX('النصاب الكامل'!$AK$3:$AX$31,MATCH($B16,'النصاب الكامل'!$AK$3:$AK$31,0),O$6)=0,"",INDEX('النصاب الكامل'!$AK$3:$AX$31,MATCH($B16,'النصاب الكامل'!$AK$3:$AK$31,0),O$6)))</f>
        <v/>
      </c>
      <c r="Q16" t="s">
        <v>55</v>
      </c>
      <c r="R16">
        <v>19</v>
      </c>
      <c r="S16" t="str">
        <f>IF($R16="","",INDEX('النصاب الكامل'!$AK$3:$AX$31,MATCH($R16,'النصاب الكامل'!$AK$3:$AK$31,0),S$6))</f>
        <v>محمود</v>
      </c>
      <c r="T16" t="str">
        <f>IF($R16="","",IF(INDEX('النصاب الكامل'!$AK$3:$AX$31,MATCH($R16,'النصاب الكامل'!$AK$3:$AK$31,0),T$6)=0,"",INDEX('النصاب الكامل'!$AK$3:$AX$31,MATCH($R16,'النصاب الكامل'!$AK$3:$AK$31,0),T$6)))</f>
        <v/>
      </c>
      <c r="U16" t="str">
        <f>IF($R16="","",IF(INDEX('النصاب الكامل'!$AK$3:$AX$31,MATCH($R16,'النصاب الكامل'!$AK$3:$AK$31,0),U$6)=0,"",INDEX('النصاب الكامل'!$AK$3:$AX$31,MATCH($R16,'النصاب الكامل'!$AK$3:$AK$31,0),U$6)))</f>
        <v/>
      </c>
      <c r="V16" t="str">
        <f>IF($R16="","",IF(INDEX('النصاب الكامل'!$AK$3:$AX$31,MATCH($R16,'النصاب الكامل'!$AK$3:$AK$31,0),V$6)=0,"",INDEX('النصاب الكامل'!$AK$3:$AX$31,MATCH($R16,'النصاب الكامل'!$AK$3:$AK$31,0),V$6)))</f>
        <v/>
      </c>
      <c r="W16" t="str">
        <f>IF($R16="","",IF(INDEX('النصاب الكامل'!$AK$3:$AX$31,MATCH($R16,'النصاب الكامل'!$AK$3:$AK$31,0),W$6)=0,"",INDEX('النصاب الكامل'!$AK$3:$AX$31,MATCH($R16,'النصاب الكامل'!$AK$3:$AK$31,0),W$6)))</f>
        <v/>
      </c>
      <c r="X16" t="str">
        <f>IF($R16="","",IF(INDEX('النصاب الكامل'!$AK$3:$AX$31,MATCH($R16,'النصاب الكامل'!$AK$3:$AK$31,0),X$6)=0,"",INDEX('النصاب الكامل'!$AK$3:$AX$31,MATCH($R16,'النصاب الكامل'!$AK$3:$AK$31,0),X$6)))</f>
        <v/>
      </c>
      <c r="Y16" t="str">
        <f>IF($R16="","",IF(INDEX('النصاب الكامل'!$AK$3:$AX$31,MATCH($R16,'النصاب الكامل'!$AK$3:$AK$31,0),Y$6)=0,"",INDEX('النصاب الكامل'!$AK$3:$AX$31,MATCH($R16,'النصاب الكامل'!$AK$3:$AK$31,0),Y$6)))</f>
        <v/>
      </c>
      <c r="Z16" t="str">
        <f>IF($R16="","",IF(INDEX('النصاب الكامل'!$AK$3:$AX$31,MATCH($R16,'النصاب الكامل'!$AK$3:$AK$31,0),Z$6)=0,"",INDEX('النصاب الكامل'!$AK$3:$AX$31,MATCH($R16,'النصاب الكامل'!$AK$3:$AK$31,0),Z$6)))</f>
        <v/>
      </c>
      <c r="AA16" t="str">
        <f>IF($R16="","",IF(INDEX('النصاب الكامل'!$AK$3:$AX$31,MATCH($R16,'النصاب الكامل'!$AK$3:$AK$31,0),AA$6)=0,"",INDEX('النصاب الكامل'!$AK$3:$AX$31,MATCH($R16,'النصاب الكامل'!$AK$3:$AK$31,0),AA$6)))</f>
        <v/>
      </c>
      <c r="AB16" t="str">
        <f>IF($R16="","",IF(INDEX('النصاب الكامل'!$AK$3:$AX$31,MATCH($R16,'النصاب الكامل'!$AK$3:$AK$31,0),AB$6)=0,"",INDEX('النصاب الكامل'!$AK$3:$AX$31,MATCH($R16,'النصاب الكامل'!$AK$3:$AK$31,0),AB$6)))</f>
        <v/>
      </c>
      <c r="AC16" t="str">
        <f>IF($R16="","",IF(INDEX('النصاب الكامل'!$AK$3:$AX$31,MATCH($R16,'النصاب الكامل'!$AK$3:$AK$31,0),AC$6)=0,"",INDEX('النصاب الكامل'!$AK$3:$AX$31,MATCH($R16,'النصاب الكامل'!$AK$3:$AK$31,0),AC$6)))</f>
        <v/>
      </c>
      <c r="AD16">
        <f>IF($R16="","",IF(INDEX('النصاب الكامل'!$AK$3:$AX$31,MATCH($R16,'النصاب الكامل'!$AK$3:$AK$31,0),AD$6)=0,"",INDEX('النصاب الكامل'!$AK$3:$AX$31,MATCH($R16,'النصاب الكامل'!$AK$3:$AK$31,0),AD$6)))</f>
        <v>5</v>
      </c>
      <c r="AE16">
        <f>IF($R16="","",IF(INDEX('النصاب الكامل'!$AK$3:$AX$31,MATCH($R16,'النصاب الكامل'!$AK$3:$AK$31,0),AE$6)=0,"",INDEX('النصاب الكامل'!$AK$3:$AX$31,MATCH($R16,'النصاب الكامل'!$AK$3:$AK$31,0),AE$6)))</f>
        <v>5</v>
      </c>
      <c r="AG16" t="s">
        <v>55</v>
      </c>
      <c r="AH16">
        <v>20</v>
      </c>
      <c r="AI16" t="str">
        <f>IF($AH16="","",INDEX('النصاب الكامل'!$AK$3:$AX$31,MATCH($AH16,'النصاب الكامل'!$AK$3:$AK$31,0),AI$6))</f>
        <v>حسين سالم</v>
      </c>
      <c r="AJ16" t="str">
        <f>IF($AH16="","",IF(INDEX('النصاب الكامل'!$AK$3:$AX$31,MATCH($AH16,'النصاب الكامل'!$AK$3:$AK$31,0),AJ$6)=0,"",INDEX('النصاب الكامل'!$AK$3:$AX$31,MATCH($AH16,'النصاب الكامل'!$AK$3:$AK$31,0),AJ$6)))</f>
        <v/>
      </c>
      <c r="AK16" t="str">
        <f>IF($AH16="","",IF(INDEX('النصاب الكامل'!$AK$3:$AX$31,MATCH($AH16,'النصاب الكامل'!$AK$3:$AK$31,0),AK$6)=0,"",INDEX('النصاب الكامل'!$AK$3:$AX$31,MATCH($AH16,'النصاب الكامل'!$AK$3:$AK$31,0),AK$6)))</f>
        <v/>
      </c>
      <c r="AL16" t="str">
        <f>IF($AH16="","",IF(INDEX('النصاب الكامل'!$AK$3:$AX$31,MATCH($AH16,'النصاب الكامل'!$AK$3:$AK$31,0),AL$6)=0,"",INDEX('النصاب الكامل'!$AK$3:$AX$31,MATCH($AH16,'النصاب الكامل'!$AK$3:$AK$31,0),AL$6)))</f>
        <v/>
      </c>
      <c r="AM16" t="str">
        <f>IF($AH16="","",IF(INDEX('النصاب الكامل'!$AK$3:$AX$31,MATCH($AH16,'النصاب الكامل'!$AK$3:$AK$31,0),AM$6)=0,"",INDEX('النصاب الكامل'!$AK$3:$AX$31,MATCH($AH16,'النصاب الكامل'!$AK$3:$AK$31,0),AM$6)))</f>
        <v/>
      </c>
      <c r="AN16" t="str">
        <f>IF($AH16="","",IF(INDEX('النصاب الكامل'!$AK$3:$AX$31,MATCH($AH16,'النصاب الكامل'!$AK$3:$AK$31,0),AN$6)=0,"",INDEX('النصاب الكامل'!$AK$3:$AX$31,MATCH($AH16,'النصاب الكامل'!$AK$3:$AK$31,0),AN$6)))</f>
        <v/>
      </c>
      <c r="AO16" t="str">
        <f>IF($AH16="","",IF(INDEX('النصاب الكامل'!$AK$3:$AX$31,MATCH($AH16,'النصاب الكامل'!$AK$3:$AK$31,0),AO$6)=0,"",INDEX('النصاب الكامل'!$AK$3:$AX$31,MATCH($AH16,'النصاب الكامل'!$AK$3:$AK$31,0),AO$6)))</f>
        <v/>
      </c>
      <c r="AP16">
        <f>IF($AH16="","",IF(INDEX('النصاب الكامل'!$AK$3:$AX$31,MATCH($AH16,'النصاب الكامل'!$AK$3:$AK$31,0),AP$6)=0,"",INDEX('النصاب الكامل'!$AK$3:$AX$31,MATCH($AH16,'النصاب الكامل'!$AK$3:$AK$31,0),AP$6)))</f>
        <v>3</v>
      </c>
      <c r="AQ16">
        <f>IF($AH16="","",IF(INDEX('النصاب الكامل'!$AK$3:$AX$31,MATCH($AH16,'النصاب الكامل'!$AK$3:$AK$31,0),AQ$6)=0,"",INDEX('النصاب الكامل'!$AK$3:$AX$31,MATCH($AH16,'النصاب الكامل'!$AK$3:$AK$31,0),AQ$6)))</f>
        <v>3</v>
      </c>
      <c r="AR16">
        <f>IF($AH16="","",IF(INDEX('النصاب الكامل'!$AK$3:$AX$31,MATCH($AH16,'النصاب الكامل'!$AK$3:$AK$31,0),AR$6)=0,"",INDEX('النصاب الكامل'!$AK$3:$AX$31,MATCH($AH16,'النصاب الكامل'!$AK$3:$AK$31,0),AR$6)))</f>
        <v>5</v>
      </c>
      <c r="AS16">
        <f>IF($AH16="","",IF(INDEX('النصاب الكامل'!$AK$3:$AX$31,MATCH($AH16,'النصاب الكامل'!$AK$3:$AK$31,0),AS$6)=0,"",INDEX('النصاب الكامل'!$AK$3:$AX$31,MATCH($AH16,'النصاب الكامل'!$AK$3:$AK$31,0),AS$6)))</f>
        <v>5</v>
      </c>
      <c r="AT16" t="str">
        <f>IF($AH16="","",IF(INDEX('النصاب الكامل'!$AK$3:$AX$31,MATCH($AH16,'النصاب الكامل'!$AK$3:$AK$31,0),AT$6)=0,"",INDEX('النصاب الكامل'!$AK$3:$AX$31,MATCH($AH16,'النصاب الكامل'!$AK$3:$AK$31,0),AT$6)))</f>
        <v/>
      </c>
      <c r="AU16" t="str">
        <f>IF($AH16="","",IF(INDEX('النصاب الكامل'!$AK$3:$AX$31,MATCH($AH16,'النصاب الكامل'!$AK$3:$AK$31,0),AU$6)=0,"",INDEX('النصاب الكامل'!$AK$3:$AX$31,MATCH($AH16,'النصاب الكامل'!$AK$3:$AK$31,0),AU$6)))</f>
        <v/>
      </c>
      <c r="AW16">
        <f t="shared" si="3"/>
        <v>20</v>
      </c>
      <c r="AX16">
        <f>'النصاب الكامل'!A13</f>
        <v>11</v>
      </c>
      <c r="AY16" t="str">
        <f>'النصاب الكامل'!B13</f>
        <v>الفيدلي</v>
      </c>
      <c r="AZ16" s="12">
        <f t="shared" si="4"/>
        <v>3</v>
      </c>
      <c r="BA16">
        <v>3</v>
      </c>
      <c r="BB16">
        <f t="shared" si="5"/>
        <v>0</v>
      </c>
    </row>
    <row r="17" spans="1:54" x14ac:dyDescent="0.45">
      <c r="A17" t="s">
        <v>56</v>
      </c>
      <c r="B17">
        <v>19</v>
      </c>
      <c r="C17" t="str">
        <f>IF($B17="","",INDEX('النصاب الكامل'!$AK$3:$AX$31,MATCH($B17,'النصاب الكامل'!$AK$3:$AK$31,0),C$6))</f>
        <v>محمود</v>
      </c>
      <c r="D17" t="str">
        <f>IF($B17="","",IF(INDEX('النصاب الكامل'!$AK$3:$AX$31,MATCH($B17,'النصاب الكامل'!$AK$3:$AK$31,0),D$6)=0,"",INDEX('النصاب الكامل'!$AK$3:$AX$31,MATCH($B17,'النصاب الكامل'!$AK$3:$AK$31,0),D$6)))</f>
        <v/>
      </c>
      <c r="E17" t="str">
        <f>IF($B17="","",IF(INDEX('النصاب الكامل'!$AK$3:$AX$31,MATCH($B17,'النصاب الكامل'!$AK$3:$AK$31,0),E$6)=0,"",INDEX('النصاب الكامل'!$AK$3:$AX$31,MATCH($B17,'النصاب الكامل'!$AK$3:$AK$31,0),E$6)))</f>
        <v/>
      </c>
      <c r="F17" t="str">
        <f>IF($B17="","",IF(INDEX('النصاب الكامل'!$AK$3:$AX$31,MATCH($B17,'النصاب الكامل'!$AK$3:$AK$31,0),F$6)=0,"",INDEX('النصاب الكامل'!$AK$3:$AX$31,MATCH($B17,'النصاب الكامل'!$AK$3:$AK$31,0),F$6)))</f>
        <v/>
      </c>
      <c r="G17" t="str">
        <f>IF($B17="","",IF(INDEX('النصاب الكامل'!$AK$3:$AX$31,MATCH($B17,'النصاب الكامل'!$AK$3:$AK$31,0),G$6)=0,"",INDEX('النصاب الكامل'!$AK$3:$AX$31,MATCH($B17,'النصاب الكامل'!$AK$3:$AK$31,0),G$6)))</f>
        <v/>
      </c>
      <c r="H17" t="str">
        <f>IF($B17="","",IF(INDEX('النصاب الكامل'!$AK$3:$AX$31,MATCH($B17,'النصاب الكامل'!$AK$3:$AK$31,0),H$6)=0,"",INDEX('النصاب الكامل'!$AK$3:$AX$31,MATCH($B17,'النصاب الكامل'!$AK$3:$AK$31,0),H$6)))</f>
        <v/>
      </c>
      <c r="I17" t="str">
        <f>IF($B17="","",IF(INDEX('النصاب الكامل'!$AK$3:$AX$31,MATCH($B17,'النصاب الكامل'!$AK$3:$AK$31,0),I$6)=0,"",INDEX('النصاب الكامل'!$AK$3:$AX$31,MATCH($B17,'النصاب الكامل'!$AK$3:$AK$31,0),I$6)))</f>
        <v/>
      </c>
      <c r="J17" t="str">
        <f>IF($B17="","",IF(INDEX('النصاب الكامل'!$AK$3:$AX$31,MATCH($B17,'النصاب الكامل'!$AK$3:$AK$31,0),J$6)=0,"",INDEX('النصاب الكامل'!$AK$3:$AX$31,MATCH($B17,'النصاب الكامل'!$AK$3:$AK$31,0),J$6)))</f>
        <v/>
      </c>
      <c r="K17" t="str">
        <f>IF($B17="","",IF(INDEX('النصاب الكامل'!$AK$3:$AX$31,MATCH($B17,'النصاب الكامل'!$AK$3:$AK$31,0),K$6)=0,"",INDEX('النصاب الكامل'!$AK$3:$AX$31,MATCH($B17,'النصاب الكامل'!$AK$3:$AK$31,0),K$6)))</f>
        <v/>
      </c>
      <c r="L17" t="str">
        <f>IF($B17="","",IF(INDEX('النصاب الكامل'!$AK$3:$AX$31,MATCH($B17,'النصاب الكامل'!$AK$3:$AK$31,0),L$6)=0,"",INDEX('النصاب الكامل'!$AK$3:$AX$31,MATCH($B17,'النصاب الكامل'!$AK$3:$AK$31,0),L$6)))</f>
        <v/>
      </c>
      <c r="M17" t="str">
        <f>IF($B17="","",IF(INDEX('النصاب الكامل'!$AK$3:$AX$31,MATCH($B17,'النصاب الكامل'!$AK$3:$AK$31,0),M$6)=0,"",INDEX('النصاب الكامل'!$AK$3:$AX$31,MATCH($B17,'النصاب الكامل'!$AK$3:$AK$31,0),M$6)))</f>
        <v/>
      </c>
      <c r="N17">
        <f>IF($B17="","",IF(INDEX('النصاب الكامل'!$AK$3:$AX$31,MATCH($B17,'النصاب الكامل'!$AK$3:$AK$31,0),N$6)=0,"",INDEX('النصاب الكامل'!$AK$3:$AX$31,MATCH($B17,'النصاب الكامل'!$AK$3:$AK$31,0),N$6)))</f>
        <v>5</v>
      </c>
      <c r="O17">
        <f>IF($B17="","",IF(INDEX('النصاب الكامل'!$AK$3:$AX$31,MATCH($B17,'النصاب الكامل'!$AK$3:$AK$31,0),O$6)=0,"",INDEX('النصاب الكامل'!$AK$3:$AX$31,MATCH($B17,'النصاب الكامل'!$AK$3:$AK$31,0),O$6)))</f>
        <v>5</v>
      </c>
      <c r="Q17" t="s">
        <v>56</v>
      </c>
      <c r="R17">
        <v>20</v>
      </c>
      <c r="S17" t="str">
        <f>IF($R17="","",INDEX('النصاب الكامل'!$AK$3:$AX$31,MATCH($R17,'النصاب الكامل'!$AK$3:$AK$31,0),S$6))</f>
        <v>حسين سالم</v>
      </c>
      <c r="T17" t="str">
        <f>IF($R17="","",IF(INDEX('النصاب الكامل'!$AK$3:$AX$31,MATCH($R17,'النصاب الكامل'!$AK$3:$AK$31,0),T$6)=0,"",INDEX('النصاب الكامل'!$AK$3:$AX$31,MATCH($R17,'النصاب الكامل'!$AK$3:$AK$31,0),T$6)))</f>
        <v/>
      </c>
      <c r="U17" t="str">
        <f>IF($R17="","",IF(INDEX('النصاب الكامل'!$AK$3:$AX$31,MATCH($R17,'النصاب الكامل'!$AK$3:$AK$31,0),U$6)=0,"",INDEX('النصاب الكامل'!$AK$3:$AX$31,MATCH($R17,'النصاب الكامل'!$AK$3:$AK$31,0),U$6)))</f>
        <v/>
      </c>
      <c r="V17" t="str">
        <f>IF($R17="","",IF(INDEX('النصاب الكامل'!$AK$3:$AX$31,MATCH($R17,'النصاب الكامل'!$AK$3:$AK$31,0),V$6)=0,"",INDEX('النصاب الكامل'!$AK$3:$AX$31,MATCH($R17,'النصاب الكامل'!$AK$3:$AK$31,0),V$6)))</f>
        <v/>
      </c>
      <c r="W17" t="str">
        <f>IF($R17="","",IF(INDEX('النصاب الكامل'!$AK$3:$AX$31,MATCH($R17,'النصاب الكامل'!$AK$3:$AK$31,0),W$6)=0,"",INDEX('النصاب الكامل'!$AK$3:$AX$31,MATCH($R17,'النصاب الكامل'!$AK$3:$AK$31,0),W$6)))</f>
        <v/>
      </c>
      <c r="X17" t="str">
        <f>IF($R17="","",IF(INDEX('النصاب الكامل'!$AK$3:$AX$31,MATCH($R17,'النصاب الكامل'!$AK$3:$AK$31,0),X$6)=0,"",INDEX('النصاب الكامل'!$AK$3:$AX$31,MATCH($R17,'النصاب الكامل'!$AK$3:$AK$31,0),X$6)))</f>
        <v/>
      </c>
      <c r="Y17" t="str">
        <f>IF($R17="","",IF(INDEX('النصاب الكامل'!$AK$3:$AX$31,MATCH($R17,'النصاب الكامل'!$AK$3:$AK$31,0),Y$6)=0,"",INDEX('النصاب الكامل'!$AK$3:$AX$31,MATCH($R17,'النصاب الكامل'!$AK$3:$AK$31,0),Y$6)))</f>
        <v/>
      </c>
      <c r="Z17">
        <f>IF($R17="","",IF(INDEX('النصاب الكامل'!$AK$3:$AX$31,MATCH($R17,'النصاب الكامل'!$AK$3:$AK$31,0),Z$6)=0,"",INDEX('النصاب الكامل'!$AK$3:$AX$31,MATCH($R17,'النصاب الكامل'!$AK$3:$AK$31,0),Z$6)))</f>
        <v>3</v>
      </c>
      <c r="AA17">
        <f>IF($R17="","",IF(INDEX('النصاب الكامل'!$AK$3:$AX$31,MATCH($R17,'النصاب الكامل'!$AK$3:$AK$31,0),AA$6)=0,"",INDEX('النصاب الكامل'!$AK$3:$AX$31,MATCH($R17,'النصاب الكامل'!$AK$3:$AK$31,0),AA$6)))</f>
        <v>3</v>
      </c>
      <c r="AB17">
        <f>IF($R17="","",IF(INDEX('النصاب الكامل'!$AK$3:$AX$31,MATCH($R17,'النصاب الكامل'!$AK$3:$AK$31,0),AB$6)=0,"",INDEX('النصاب الكامل'!$AK$3:$AX$31,MATCH($R17,'النصاب الكامل'!$AK$3:$AK$31,0),AB$6)))</f>
        <v>5</v>
      </c>
      <c r="AC17">
        <f>IF($R17="","",IF(INDEX('النصاب الكامل'!$AK$3:$AX$31,MATCH($R17,'النصاب الكامل'!$AK$3:$AK$31,0),AC$6)=0,"",INDEX('النصاب الكامل'!$AK$3:$AX$31,MATCH($R17,'النصاب الكامل'!$AK$3:$AK$31,0),AC$6)))</f>
        <v>5</v>
      </c>
      <c r="AD17" t="str">
        <f>IF($R17="","",IF(INDEX('النصاب الكامل'!$AK$3:$AX$31,MATCH($R17,'النصاب الكامل'!$AK$3:$AK$31,0),AD$6)=0,"",INDEX('النصاب الكامل'!$AK$3:$AX$31,MATCH($R17,'النصاب الكامل'!$AK$3:$AK$31,0),AD$6)))</f>
        <v/>
      </c>
      <c r="AE17" t="str">
        <f>IF($R17="","",IF(INDEX('النصاب الكامل'!$AK$3:$AX$31,MATCH($R17,'النصاب الكامل'!$AK$3:$AK$31,0),AE$6)=0,"",INDEX('النصاب الكامل'!$AK$3:$AX$31,MATCH($R17,'النصاب الكامل'!$AK$3:$AK$31,0),AE$6)))</f>
        <v/>
      </c>
      <c r="AG17" t="s">
        <v>56</v>
      </c>
      <c r="AH17">
        <v>21</v>
      </c>
      <c r="AI17" t="str">
        <f>IF($AH17="","",INDEX('النصاب الكامل'!$AK$3:$AX$31,MATCH($AH17,'النصاب الكامل'!$AK$3:$AK$31,0),AI$6))</f>
        <v>حسين الفيفيي</v>
      </c>
      <c r="AJ17" t="str">
        <f>IF($AH17="","",IF(INDEX('النصاب الكامل'!$AK$3:$AX$31,MATCH($AH17,'النصاب الكامل'!$AK$3:$AK$31,0),AJ$6)=0,"",INDEX('النصاب الكامل'!$AK$3:$AX$31,MATCH($AH17,'النصاب الكامل'!$AK$3:$AK$31,0),AJ$6)))</f>
        <v/>
      </c>
      <c r="AK17" t="str">
        <f>IF($AH17="","",IF(INDEX('النصاب الكامل'!$AK$3:$AX$31,MATCH($AH17,'النصاب الكامل'!$AK$3:$AK$31,0),AK$6)=0,"",INDEX('النصاب الكامل'!$AK$3:$AX$31,MATCH($AH17,'النصاب الكامل'!$AK$3:$AK$31,0),AK$6)))</f>
        <v/>
      </c>
      <c r="AL17">
        <f>IF($AH17="","",IF(INDEX('النصاب الكامل'!$AK$3:$AX$31,MATCH($AH17,'النصاب الكامل'!$AK$3:$AK$31,0),AL$6)=0,"",INDEX('النصاب الكامل'!$AK$3:$AX$31,MATCH($AH17,'النصاب الكامل'!$AK$3:$AK$31,0),AL$6)))</f>
        <v>4</v>
      </c>
      <c r="AM17">
        <f>IF($AH17="","",IF(INDEX('النصاب الكامل'!$AK$3:$AX$31,MATCH($AH17,'النصاب الكامل'!$AK$3:$AK$31,0),AM$6)=0,"",INDEX('النصاب الكامل'!$AK$3:$AX$31,MATCH($AH17,'النصاب الكامل'!$AK$3:$AK$31,0),AM$6)))</f>
        <v>4</v>
      </c>
      <c r="AN17" t="str">
        <f>IF($AH17="","",IF(INDEX('النصاب الكامل'!$AK$3:$AX$31,MATCH($AH17,'النصاب الكامل'!$AK$3:$AK$31,0),AN$6)=0,"",INDEX('النصاب الكامل'!$AK$3:$AX$31,MATCH($AH17,'النصاب الكامل'!$AK$3:$AK$31,0),AN$6)))</f>
        <v/>
      </c>
      <c r="AO17" t="str">
        <f>IF($AH17="","",IF(INDEX('النصاب الكامل'!$AK$3:$AX$31,MATCH($AH17,'النصاب الكامل'!$AK$3:$AK$31,0),AO$6)=0,"",INDEX('النصاب الكامل'!$AK$3:$AX$31,MATCH($AH17,'النصاب الكامل'!$AK$3:$AK$31,0),AO$6)))</f>
        <v/>
      </c>
      <c r="AP17" t="str">
        <f>IF($AH17="","",IF(INDEX('النصاب الكامل'!$AK$3:$AX$31,MATCH($AH17,'النصاب الكامل'!$AK$3:$AK$31,0),AP$6)=0,"",INDEX('النصاب الكامل'!$AK$3:$AX$31,MATCH($AH17,'النصاب الكامل'!$AK$3:$AK$31,0),AP$6)))</f>
        <v/>
      </c>
      <c r="AQ17" t="str">
        <f>IF($AH17="","",IF(INDEX('النصاب الكامل'!$AK$3:$AX$31,MATCH($AH17,'النصاب الكامل'!$AK$3:$AK$31,0),AQ$6)=0,"",INDEX('النصاب الكامل'!$AK$3:$AX$31,MATCH($AH17,'النصاب الكامل'!$AK$3:$AK$31,0),AQ$6)))</f>
        <v/>
      </c>
      <c r="AR17" t="str">
        <f>IF($AH17="","",IF(INDEX('النصاب الكامل'!$AK$3:$AX$31,MATCH($AH17,'النصاب الكامل'!$AK$3:$AK$31,0),AR$6)=0,"",INDEX('النصاب الكامل'!$AK$3:$AX$31,MATCH($AH17,'النصاب الكامل'!$AK$3:$AK$31,0),AR$6)))</f>
        <v/>
      </c>
      <c r="AS17" t="str">
        <f>IF($AH17="","",IF(INDEX('النصاب الكامل'!$AK$3:$AX$31,MATCH($AH17,'النصاب الكامل'!$AK$3:$AK$31,0),AS$6)=0,"",INDEX('النصاب الكامل'!$AK$3:$AX$31,MATCH($AH17,'النصاب الكامل'!$AK$3:$AK$31,0),AS$6)))</f>
        <v/>
      </c>
      <c r="AT17">
        <f>IF($AH17="","",IF(INDEX('النصاب الكامل'!$AK$3:$AX$31,MATCH($AH17,'النصاب الكامل'!$AK$3:$AK$31,0),AT$6)=0,"",INDEX('النصاب الكامل'!$AK$3:$AX$31,MATCH($AH17,'النصاب الكامل'!$AK$3:$AK$31,0),AT$6)))</f>
        <v>3</v>
      </c>
      <c r="AU17">
        <f>IF($AH17="","",IF(INDEX('النصاب الكامل'!$AK$3:$AX$31,MATCH($AH17,'النصاب الكامل'!$AK$3:$AK$31,0),AU$6)=0,"",INDEX('النصاب الكامل'!$AK$3:$AX$31,MATCH($AH17,'النصاب الكامل'!$AK$3:$AK$31,0),AU$6)))</f>
        <v>3</v>
      </c>
      <c r="AW17">
        <f t="shared" si="3"/>
        <v>26</v>
      </c>
      <c r="AX17">
        <f>'النصاب الكامل'!A14</f>
        <v>12</v>
      </c>
      <c r="AY17" t="str">
        <f>'النصاب الكامل'!B14</f>
        <v>يحيى العزي</v>
      </c>
      <c r="AZ17" s="12">
        <f t="shared" si="4"/>
        <v>2</v>
      </c>
      <c r="BA17">
        <v>2</v>
      </c>
      <c r="BB17">
        <f t="shared" si="5"/>
        <v>0</v>
      </c>
    </row>
    <row r="18" spans="1:54" x14ac:dyDescent="0.45">
      <c r="A18" t="s">
        <v>57</v>
      </c>
      <c r="B18">
        <v>20</v>
      </c>
      <c r="C18" t="str">
        <f>IF($B18="","",INDEX('النصاب الكامل'!$AK$3:$AX$31,MATCH($B18,'النصاب الكامل'!$AK$3:$AK$31,0),C$6))</f>
        <v>حسين سالم</v>
      </c>
      <c r="D18" t="str">
        <f>IF($B18="","",IF(INDEX('النصاب الكامل'!$AK$3:$AX$31,MATCH($B18,'النصاب الكامل'!$AK$3:$AK$31,0),D$6)=0,"",INDEX('النصاب الكامل'!$AK$3:$AX$31,MATCH($B18,'النصاب الكامل'!$AK$3:$AK$31,0),D$6)))</f>
        <v/>
      </c>
      <c r="E18" t="str">
        <f>IF($B18="","",IF(INDEX('النصاب الكامل'!$AK$3:$AX$31,MATCH($B18,'النصاب الكامل'!$AK$3:$AK$31,0),E$6)=0,"",INDEX('النصاب الكامل'!$AK$3:$AX$31,MATCH($B18,'النصاب الكامل'!$AK$3:$AK$31,0),E$6)))</f>
        <v/>
      </c>
      <c r="F18" t="str">
        <f>IF($B18="","",IF(INDEX('النصاب الكامل'!$AK$3:$AX$31,MATCH($B18,'النصاب الكامل'!$AK$3:$AK$31,0),F$6)=0,"",INDEX('النصاب الكامل'!$AK$3:$AX$31,MATCH($B18,'النصاب الكامل'!$AK$3:$AK$31,0),F$6)))</f>
        <v/>
      </c>
      <c r="G18" t="str">
        <f>IF($B18="","",IF(INDEX('النصاب الكامل'!$AK$3:$AX$31,MATCH($B18,'النصاب الكامل'!$AK$3:$AK$31,0),G$6)=0,"",INDEX('النصاب الكامل'!$AK$3:$AX$31,MATCH($B18,'النصاب الكامل'!$AK$3:$AK$31,0),G$6)))</f>
        <v/>
      </c>
      <c r="H18" t="str">
        <f>IF($B18="","",IF(INDEX('النصاب الكامل'!$AK$3:$AX$31,MATCH($B18,'النصاب الكامل'!$AK$3:$AK$31,0),H$6)=0,"",INDEX('النصاب الكامل'!$AK$3:$AX$31,MATCH($B18,'النصاب الكامل'!$AK$3:$AK$31,0),H$6)))</f>
        <v/>
      </c>
      <c r="I18" t="str">
        <f>IF($B18="","",IF(INDEX('النصاب الكامل'!$AK$3:$AX$31,MATCH($B18,'النصاب الكامل'!$AK$3:$AK$31,0),I$6)=0,"",INDEX('النصاب الكامل'!$AK$3:$AX$31,MATCH($B18,'النصاب الكامل'!$AK$3:$AK$31,0),I$6)))</f>
        <v/>
      </c>
      <c r="J18">
        <f>IF($B18="","",IF(INDEX('النصاب الكامل'!$AK$3:$AX$31,MATCH($B18,'النصاب الكامل'!$AK$3:$AK$31,0),J$6)=0,"",INDEX('النصاب الكامل'!$AK$3:$AX$31,MATCH($B18,'النصاب الكامل'!$AK$3:$AK$31,0),J$6)))</f>
        <v>3</v>
      </c>
      <c r="K18">
        <f>IF($B18="","",IF(INDEX('النصاب الكامل'!$AK$3:$AX$31,MATCH($B18,'النصاب الكامل'!$AK$3:$AK$31,0),K$6)=0,"",INDEX('النصاب الكامل'!$AK$3:$AX$31,MATCH($B18,'النصاب الكامل'!$AK$3:$AK$31,0),K$6)))</f>
        <v>3</v>
      </c>
      <c r="L18">
        <f>IF($B18="","",IF(INDEX('النصاب الكامل'!$AK$3:$AX$31,MATCH($B18,'النصاب الكامل'!$AK$3:$AK$31,0),L$6)=0,"",INDEX('النصاب الكامل'!$AK$3:$AX$31,MATCH($B18,'النصاب الكامل'!$AK$3:$AK$31,0),L$6)))</f>
        <v>5</v>
      </c>
      <c r="M18">
        <f>IF($B18="","",IF(INDEX('النصاب الكامل'!$AK$3:$AX$31,MATCH($B18,'النصاب الكامل'!$AK$3:$AK$31,0),M$6)=0,"",INDEX('النصاب الكامل'!$AK$3:$AX$31,MATCH($B18,'النصاب الكامل'!$AK$3:$AK$31,0),M$6)))</f>
        <v>5</v>
      </c>
      <c r="N18" t="str">
        <f>IF($B18="","",IF(INDEX('النصاب الكامل'!$AK$3:$AX$31,MATCH($B18,'النصاب الكامل'!$AK$3:$AK$31,0),N$6)=0,"",INDEX('النصاب الكامل'!$AK$3:$AX$31,MATCH($B18,'النصاب الكامل'!$AK$3:$AK$31,0),N$6)))</f>
        <v/>
      </c>
      <c r="O18" t="str">
        <f>IF($B18="","",IF(INDEX('النصاب الكامل'!$AK$3:$AX$31,MATCH($B18,'النصاب الكامل'!$AK$3:$AK$31,0),O$6)=0,"",INDEX('النصاب الكامل'!$AK$3:$AX$31,MATCH($B18,'النصاب الكامل'!$AK$3:$AK$31,0),O$6)))</f>
        <v/>
      </c>
      <c r="Q18" t="s">
        <v>57</v>
      </c>
      <c r="R18">
        <v>25</v>
      </c>
      <c r="S18" t="str">
        <f>IF($R18="","",INDEX('النصاب الكامل'!$AK$3:$AX$31,MATCH($R18,'النصاب الكامل'!$AK$3:$AK$31,0),S$6))</f>
        <v>حسن جبار</v>
      </c>
      <c r="T18" t="str">
        <f>IF($R18="","",IF(INDEX('النصاب الكامل'!$AK$3:$AX$31,MATCH($R18,'النصاب الكامل'!$AK$3:$AK$31,0),T$6)=0,"",INDEX('النصاب الكامل'!$AK$3:$AX$31,MATCH($R18,'النصاب الكامل'!$AK$3:$AK$31,0),T$6)))</f>
        <v/>
      </c>
      <c r="U18" t="str">
        <f>IF($R18="","",IF(INDEX('النصاب الكامل'!$AK$3:$AX$31,MATCH($R18,'النصاب الكامل'!$AK$3:$AK$31,0),U$6)=0,"",INDEX('النصاب الكامل'!$AK$3:$AX$31,MATCH($R18,'النصاب الكامل'!$AK$3:$AK$31,0),U$6)))</f>
        <v/>
      </c>
      <c r="V18">
        <f>IF($R18="","",IF(INDEX('النصاب الكامل'!$AK$3:$AX$31,MATCH($R18,'النصاب الكامل'!$AK$3:$AK$31,0),V$6)=0,"",INDEX('النصاب الكامل'!$AK$3:$AX$31,MATCH($R18,'النصاب الكامل'!$AK$3:$AK$31,0),V$6)))</f>
        <v>4</v>
      </c>
      <c r="W18">
        <f>IF($R18="","",IF(INDEX('النصاب الكامل'!$AK$3:$AX$31,MATCH($R18,'النصاب الكامل'!$AK$3:$AK$31,0),W$6)=0,"",INDEX('النصاب الكامل'!$AK$3:$AX$31,MATCH($R18,'النصاب الكامل'!$AK$3:$AK$31,0),W$6)))</f>
        <v>4</v>
      </c>
      <c r="X18" t="str">
        <f>IF($R18="","",IF(INDEX('النصاب الكامل'!$AK$3:$AX$31,MATCH($R18,'النصاب الكامل'!$AK$3:$AK$31,0),X$6)=0,"",INDEX('النصاب الكامل'!$AK$3:$AX$31,MATCH($R18,'النصاب الكامل'!$AK$3:$AK$31,0),X$6)))</f>
        <v/>
      </c>
      <c r="Y18" t="str">
        <f>IF($R18="","",IF(INDEX('النصاب الكامل'!$AK$3:$AX$31,MATCH($R18,'النصاب الكامل'!$AK$3:$AK$31,0),Y$6)=0,"",INDEX('النصاب الكامل'!$AK$3:$AX$31,MATCH($R18,'النصاب الكامل'!$AK$3:$AK$31,0),Y$6)))</f>
        <v/>
      </c>
      <c r="Z18" t="str">
        <f>IF($R18="","",IF(INDEX('النصاب الكامل'!$AK$3:$AX$31,MATCH($R18,'النصاب الكامل'!$AK$3:$AK$31,0),Z$6)=0,"",INDEX('النصاب الكامل'!$AK$3:$AX$31,MATCH($R18,'النصاب الكامل'!$AK$3:$AK$31,0),Z$6)))</f>
        <v/>
      </c>
      <c r="AA18" t="str">
        <f>IF($R18="","",IF(INDEX('النصاب الكامل'!$AK$3:$AX$31,MATCH($R18,'النصاب الكامل'!$AK$3:$AK$31,0),AA$6)=0,"",INDEX('النصاب الكامل'!$AK$3:$AX$31,MATCH($R18,'النصاب الكامل'!$AK$3:$AK$31,0),AA$6)))</f>
        <v/>
      </c>
      <c r="AB18">
        <f>IF($R18="","",IF(INDEX('النصاب الكامل'!$AK$3:$AX$31,MATCH($R18,'النصاب الكامل'!$AK$3:$AK$31,0),AB$6)=0,"",INDEX('النصاب الكامل'!$AK$3:$AX$31,MATCH($R18,'النصاب الكامل'!$AK$3:$AK$31,0),AB$6)))</f>
        <v>5</v>
      </c>
      <c r="AC18">
        <f>IF($R18="","",IF(INDEX('النصاب الكامل'!$AK$3:$AX$31,MATCH($R18,'النصاب الكامل'!$AK$3:$AK$31,0),AC$6)=0,"",INDEX('النصاب الكامل'!$AK$3:$AX$31,MATCH($R18,'النصاب الكامل'!$AK$3:$AK$31,0),AC$6)))</f>
        <v>5</v>
      </c>
      <c r="AD18" t="str">
        <f>IF($R18="","",IF(INDEX('النصاب الكامل'!$AK$3:$AX$31,MATCH($R18,'النصاب الكامل'!$AK$3:$AK$31,0),AD$6)=0,"",INDEX('النصاب الكامل'!$AK$3:$AX$31,MATCH($R18,'النصاب الكامل'!$AK$3:$AK$31,0),AD$6)))</f>
        <v/>
      </c>
      <c r="AE18" t="str">
        <f>IF($R18="","",IF(INDEX('النصاب الكامل'!$AK$3:$AX$31,MATCH($R18,'النصاب الكامل'!$AK$3:$AK$31,0),AE$6)=0,"",INDEX('النصاب الكامل'!$AK$3:$AX$31,MATCH($R18,'النصاب الكامل'!$AK$3:$AK$31,0),AE$6)))</f>
        <v/>
      </c>
      <c r="AG18" t="s">
        <v>57</v>
      </c>
      <c r="AH18">
        <v>22</v>
      </c>
      <c r="AI18" t="str">
        <f>IF($AH18="","",INDEX('النصاب الكامل'!$AK$3:$AX$31,MATCH($AH18,'النصاب الكامل'!$AK$3:$AK$31,0),AI$6))</f>
        <v>ابراهيم</v>
      </c>
      <c r="AJ18">
        <f>IF($AH18="","",IF(INDEX('النصاب الكامل'!$AK$3:$AX$31,MATCH($AH18,'النصاب الكامل'!$AK$3:$AK$31,0),AJ$6)=0,"",INDEX('النصاب الكامل'!$AK$3:$AX$31,MATCH($AH18,'النصاب الكامل'!$AK$3:$AK$31,0),AJ$6)))</f>
        <v>6</v>
      </c>
      <c r="AK18" t="str">
        <f>IF($AH18="","",IF(INDEX('النصاب الكامل'!$AK$3:$AX$31,MATCH($AH18,'النصاب الكامل'!$AK$3:$AK$31,0),AK$6)=0,"",INDEX('النصاب الكامل'!$AK$3:$AX$31,MATCH($AH18,'النصاب الكامل'!$AK$3:$AK$31,0),AK$6)))</f>
        <v/>
      </c>
      <c r="AL18" t="str">
        <f>IF($AH18="","",IF(INDEX('النصاب الكامل'!$AK$3:$AX$31,MATCH($AH18,'النصاب الكامل'!$AK$3:$AK$31,0),AL$6)=0,"",INDEX('النصاب الكامل'!$AK$3:$AX$31,MATCH($AH18,'النصاب الكامل'!$AK$3:$AK$31,0),AL$6)))</f>
        <v/>
      </c>
      <c r="AM18" t="str">
        <f>IF($AH18="","",IF(INDEX('النصاب الكامل'!$AK$3:$AX$31,MATCH($AH18,'النصاب الكامل'!$AK$3:$AK$31,0),AM$6)=0,"",INDEX('النصاب الكامل'!$AK$3:$AX$31,MATCH($AH18,'النصاب الكامل'!$AK$3:$AK$31,0),AM$6)))</f>
        <v/>
      </c>
      <c r="AN18" t="str">
        <f>IF($AH18="","",IF(INDEX('النصاب الكامل'!$AK$3:$AX$31,MATCH($AH18,'النصاب الكامل'!$AK$3:$AK$31,0),AN$6)=0,"",INDEX('النصاب الكامل'!$AK$3:$AX$31,MATCH($AH18,'النصاب الكامل'!$AK$3:$AK$31,0),AN$6)))</f>
        <v/>
      </c>
      <c r="AO18" t="str">
        <f>IF($AH18="","",IF(INDEX('النصاب الكامل'!$AK$3:$AX$31,MATCH($AH18,'النصاب الكامل'!$AK$3:$AK$31,0),AO$6)=0,"",INDEX('النصاب الكامل'!$AK$3:$AX$31,MATCH($AH18,'النصاب الكامل'!$AK$3:$AK$31,0),AO$6)))</f>
        <v/>
      </c>
      <c r="AP18" t="str">
        <f>IF($AH18="","",IF(INDEX('النصاب الكامل'!$AK$3:$AX$31,MATCH($AH18,'النصاب الكامل'!$AK$3:$AK$31,0),AP$6)=0,"",INDEX('النصاب الكامل'!$AK$3:$AX$31,MATCH($AH18,'النصاب الكامل'!$AK$3:$AK$31,0),AP$6)))</f>
        <v/>
      </c>
      <c r="AQ18" t="str">
        <f>IF($AH18="","",IF(INDEX('النصاب الكامل'!$AK$3:$AX$31,MATCH($AH18,'النصاب الكامل'!$AK$3:$AK$31,0),AQ$6)=0,"",INDEX('النصاب الكامل'!$AK$3:$AX$31,MATCH($AH18,'النصاب الكامل'!$AK$3:$AK$31,0),AQ$6)))</f>
        <v/>
      </c>
      <c r="AR18" t="str">
        <f>IF($AH18="","",IF(INDEX('النصاب الكامل'!$AK$3:$AX$31,MATCH($AH18,'النصاب الكامل'!$AK$3:$AK$31,0),AR$6)=0,"",INDEX('النصاب الكامل'!$AK$3:$AX$31,MATCH($AH18,'النصاب الكامل'!$AK$3:$AK$31,0),AR$6)))</f>
        <v/>
      </c>
      <c r="AS18" t="str">
        <f>IF($AH18="","",IF(INDEX('النصاب الكامل'!$AK$3:$AX$31,MATCH($AH18,'النصاب الكامل'!$AK$3:$AK$31,0),AS$6)=0,"",INDEX('النصاب الكامل'!$AK$3:$AX$31,MATCH($AH18,'النصاب الكامل'!$AK$3:$AK$31,0),AS$6)))</f>
        <v/>
      </c>
      <c r="AT18">
        <f>IF($AH18="","",IF(INDEX('النصاب الكامل'!$AK$3:$AX$31,MATCH($AH18,'النصاب الكامل'!$AK$3:$AK$31,0),AT$6)=0,"",INDEX('النصاب الكامل'!$AK$3:$AX$31,MATCH($AH18,'النصاب الكامل'!$AK$3:$AK$31,0),AT$6)))</f>
        <v>4</v>
      </c>
      <c r="AU18">
        <f>IF($AH18="","",IF(INDEX('النصاب الكامل'!$AK$3:$AX$31,MATCH($AH18,'النصاب الكامل'!$AK$3:$AK$31,0),AU$6)=0,"",INDEX('النصاب الكامل'!$AK$3:$AX$31,MATCH($AH18,'النصاب الكامل'!$AK$3:$AK$31,0),AU$6)))</f>
        <v>4</v>
      </c>
      <c r="AW18">
        <f t="shared" si="3"/>
        <v>0</v>
      </c>
      <c r="AX18">
        <f>'النصاب الكامل'!A15</f>
        <v>13</v>
      </c>
      <c r="AY18" t="str">
        <f>'النصاب الكامل'!B15</f>
        <v>جبران علي</v>
      </c>
      <c r="AZ18" s="12">
        <f t="shared" si="4"/>
        <v>2</v>
      </c>
      <c r="BA18">
        <v>2</v>
      </c>
      <c r="BB18">
        <f t="shared" si="5"/>
        <v>0</v>
      </c>
    </row>
    <row r="19" spans="1:54" x14ac:dyDescent="0.45">
      <c r="A19" t="s">
        <v>58</v>
      </c>
      <c r="B19">
        <v>26</v>
      </c>
      <c r="C19" t="str">
        <f>IF($B19="","",INDEX('النصاب الكامل'!$AK$3:$AX$31,MATCH($B19,'النصاب الكامل'!$AK$3:$AK$31,0),C$6))</f>
        <v>موسى</v>
      </c>
      <c r="D19" t="str">
        <f>IF($B19="","",IF(INDEX('النصاب الكامل'!$AK$3:$AX$31,MATCH($B19,'النصاب الكامل'!$AK$3:$AK$31,0),D$6)=0,"",INDEX('النصاب الكامل'!$AK$3:$AX$31,MATCH($B19,'النصاب الكامل'!$AK$3:$AK$31,0),D$6)))</f>
        <v/>
      </c>
      <c r="E19" t="str">
        <f>IF($B19="","",IF(INDEX('النصاب الكامل'!$AK$3:$AX$31,MATCH($B19,'النصاب الكامل'!$AK$3:$AK$31,0),E$6)=0,"",INDEX('النصاب الكامل'!$AK$3:$AX$31,MATCH($B19,'النصاب الكامل'!$AK$3:$AK$31,0),E$6)))</f>
        <v/>
      </c>
      <c r="F19" t="str">
        <f>IF($B19="","",IF(INDEX('النصاب الكامل'!$AK$3:$AX$31,MATCH($B19,'النصاب الكامل'!$AK$3:$AK$31,0),F$6)=0,"",INDEX('النصاب الكامل'!$AK$3:$AX$31,MATCH($B19,'النصاب الكامل'!$AK$3:$AK$31,0),F$6)))</f>
        <v/>
      </c>
      <c r="G19" t="str">
        <f>IF($B19="","",IF(INDEX('النصاب الكامل'!$AK$3:$AX$31,MATCH($B19,'النصاب الكامل'!$AK$3:$AK$31,0),G$6)=0,"",INDEX('النصاب الكامل'!$AK$3:$AX$31,MATCH($B19,'النصاب الكامل'!$AK$3:$AK$31,0),G$6)))</f>
        <v/>
      </c>
      <c r="H19">
        <f>IF($B19="","",IF(INDEX('النصاب الكامل'!$AK$3:$AX$31,MATCH($B19,'النصاب الكامل'!$AK$3:$AK$31,0),H$6)=0,"",INDEX('النصاب الكامل'!$AK$3:$AX$31,MATCH($B19,'النصاب الكامل'!$AK$3:$AK$31,0),H$6)))</f>
        <v>4</v>
      </c>
      <c r="I19">
        <f>IF($B19="","",IF(INDEX('النصاب الكامل'!$AK$3:$AX$31,MATCH($B19,'النصاب الكامل'!$AK$3:$AK$31,0),I$6)=0,"",INDEX('النصاب الكامل'!$AK$3:$AX$31,MATCH($B19,'النصاب الكامل'!$AK$3:$AK$31,0),I$6)))</f>
        <v>4</v>
      </c>
      <c r="J19" t="str">
        <f>IF($B19="","",IF(INDEX('النصاب الكامل'!$AK$3:$AX$31,MATCH($B19,'النصاب الكامل'!$AK$3:$AK$31,0),J$6)=0,"",INDEX('النصاب الكامل'!$AK$3:$AX$31,MATCH($B19,'النصاب الكامل'!$AK$3:$AK$31,0),J$6)))</f>
        <v/>
      </c>
      <c r="K19" t="str">
        <f>IF($B19="","",IF(INDEX('النصاب الكامل'!$AK$3:$AX$31,MATCH($B19,'النصاب الكامل'!$AK$3:$AK$31,0),K$6)=0,"",INDEX('النصاب الكامل'!$AK$3:$AX$31,MATCH($B19,'النصاب الكامل'!$AK$3:$AK$31,0),K$6)))</f>
        <v/>
      </c>
      <c r="L19">
        <f>IF($B19="","",IF(INDEX('النصاب الكامل'!$AK$3:$AX$31,MATCH($B19,'النصاب الكامل'!$AK$3:$AK$31,0),L$6)=0,"",INDEX('النصاب الكامل'!$AK$3:$AX$31,MATCH($B19,'النصاب الكامل'!$AK$3:$AK$31,0),L$6)))</f>
        <v>2</v>
      </c>
      <c r="M19">
        <f>IF($B19="","",IF(INDEX('النصاب الكامل'!$AK$3:$AX$31,MATCH($B19,'النصاب الكامل'!$AK$3:$AK$31,0),M$6)=0,"",INDEX('النصاب الكامل'!$AK$3:$AX$31,MATCH($B19,'النصاب الكامل'!$AK$3:$AK$31,0),M$6)))</f>
        <v>2</v>
      </c>
      <c r="N19" t="str">
        <f>IF($B19="","",IF(INDEX('النصاب الكامل'!$AK$3:$AX$31,MATCH($B19,'النصاب الكامل'!$AK$3:$AK$31,0),N$6)=0,"",INDEX('النصاب الكامل'!$AK$3:$AX$31,MATCH($B19,'النصاب الكامل'!$AK$3:$AK$31,0),N$6)))</f>
        <v/>
      </c>
      <c r="O19" t="str">
        <f>IF($B19="","",IF(INDEX('النصاب الكامل'!$AK$3:$AX$31,MATCH($B19,'النصاب الكامل'!$AK$3:$AK$31,0),O$6)=0,"",INDEX('النصاب الكامل'!$AK$3:$AX$31,MATCH($B19,'النصاب الكامل'!$AK$3:$AK$31,0),O$6)))</f>
        <v/>
      </c>
      <c r="Q19" t="s">
        <v>58</v>
      </c>
      <c r="R19">
        <v>26</v>
      </c>
      <c r="S19" t="str">
        <f>IF($R19="","",INDEX('النصاب الكامل'!$AK$3:$AX$31,MATCH($R19,'النصاب الكامل'!$AK$3:$AK$31,0),S$6))</f>
        <v>موسى</v>
      </c>
      <c r="T19" t="str">
        <f>IF($R19="","",IF(INDEX('النصاب الكامل'!$AK$3:$AX$31,MATCH($R19,'النصاب الكامل'!$AK$3:$AK$31,0),T$6)=0,"",INDEX('النصاب الكامل'!$AK$3:$AX$31,MATCH($R19,'النصاب الكامل'!$AK$3:$AK$31,0),T$6)))</f>
        <v/>
      </c>
      <c r="U19" t="str">
        <f>IF($R19="","",IF(INDEX('النصاب الكامل'!$AK$3:$AX$31,MATCH($R19,'النصاب الكامل'!$AK$3:$AK$31,0),U$6)=0,"",INDEX('النصاب الكامل'!$AK$3:$AX$31,MATCH($R19,'النصاب الكامل'!$AK$3:$AK$31,0),U$6)))</f>
        <v/>
      </c>
      <c r="V19" t="str">
        <f>IF($R19="","",IF(INDEX('النصاب الكامل'!$AK$3:$AX$31,MATCH($R19,'النصاب الكامل'!$AK$3:$AK$31,0),V$6)=0,"",INDEX('النصاب الكامل'!$AK$3:$AX$31,MATCH($R19,'النصاب الكامل'!$AK$3:$AK$31,0),V$6)))</f>
        <v/>
      </c>
      <c r="W19" t="str">
        <f>IF($R19="","",IF(INDEX('النصاب الكامل'!$AK$3:$AX$31,MATCH($R19,'النصاب الكامل'!$AK$3:$AK$31,0),W$6)=0,"",INDEX('النصاب الكامل'!$AK$3:$AX$31,MATCH($R19,'النصاب الكامل'!$AK$3:$AK$31,0),W$6)))</f>
        <v/>
      </c>
      <c r="X19">
        <f>IF($R19="","",IF(INDEX('النصاب الكامل'!$AK$3:$AX$31,MATCH($R19,'النصاب الكامل'!$AK$3:$AK$31,0),X$6)=0,"",INDEX('النصاب الكامل'!$AK$3:$AX$31,MATCH($R19,'النصاب الكامل'!$AK$3:$AK$31,0),X$6)))</f>
        <v>4</v>
      </c>
      <c r="Y19">
        <f>IF($R19="","",IF(INDEX('النصاب الكامل'!$AK$3:$AX$31,MATCH($R19,'النصاب الكامل'!$AK$3:$AK$31,0),Y$6)=0,"",INDEX('النصاب الكامل'!$AK$3:$AX$31,MATCH($R19,'النصاب الكامل'!$AK$3:$AK$31,0),Y$6)))</f>
        <v>4</v>
      </c>
      <c r="Z19" t="str">
        <f>IF($R19="","",IF(INDEX('النصاب الكامل'!$AK$3:$AX$31,MATCH($R19,'النصاب الكامل'!$AK$3:$AK$31,0),Z$6)=0,"",INDEX('النصاب الكامل'!$AK$3:$AX$31,MATCH($R19,'النصاب الكامل'!$AK$3:$AK$31,0),Z$6)))</f>
        <v/>
      </c>
      <c r="AA19" t="str">
        <f>IF($R19="","",IF(INDEX('النصاب الكامل'!$AK$3:$AX$31,MATCH($R19,'النصاب الكامل'!$AK$3:$AK$31,0),AA$6)=0,"",INDEX('النصاب الكامل'!$AK$3:$AX$31,MATCH($R19,'النصاب الكامل'!$AK$3:$AK$31,0),AA$6)))</f>
        <v/>
      </c>
      <c r="AB19">
        <f>IF($R19="","",IF(INDEX('النصاب الكامل'!$AK$3:$AX$31,MATCH($R19,'النصاب الكامل'!$AK$3:$AK$31,0),AB$6)=0,"",INDEX('النصاب الكامل'!$AK$3:$AX$31,MATCH($R19,'النصاب الكامل'!$AK$3:$AK$31,0),AB$6)))</f>
        <v>2</v>
      </c>
      <c r="AC19">
        <f>IF($R19="","",IF(INDEX('النصاب الكامل'!$AK$3:$AX$31,MATCH($R19,'النصاب الكامل'!$AK$3:$AK$31,0),AC$6)=0,"",INDEX('النصاب الكامل'!$AK$3:$AX$31,MATCH($R19,'النصاب الكامل'!$AK$3:$AK$31,0),AC$6)))</f>
        <v>2</v>
      </c>
      <c r="AD19" t="str">
        <f>IF($R19="","",IF(INDEX('النصاب الكامل'!$AK$3:$AX$31,MATCH($R19,'النصاب الكامل'!$AK$3:$AK$31,0),AD$6)=0,"",INDEX('النصاب الكامل'!$AK$3:$AX$31,MATCH($R19,'النصاب الكامل'!$AK$3:$AK$31,0),AD$6)))</f>
        <v/>
      </c>
      <c r="AE19" t="str">
        <f>IF($R19="","",IF(INDEX('النصاب الكامل'!$AK$3:$AX$31,MATCH($R19,'النصاب الكامل'!$AK$3:$AK$31,0),AE$6)=0,"",INDEX('النصاب الكامل'!$AK$3:$AX$31,MATCH($R19,'النصاب الكامل'!$AK$3:$AK$31,0),AE$6)))</f>
        <v/>
      </c>
      <c r="AG19" t="s">
        <v>58</v>
      </c>
      <c r="AH19">
        <v>25</v>
      </c>
      <c r="AI19" t="str">
        <f>IF($AH19="","",INDEX('النصاب الكامل'!$AK$3:$AX$31,MATCH($AH19,'النصاب الكامل'!$AK$3:$AK$31,0),AI$6))</f>
        <v>حسن جبار</v>
      </c>
      <c r="AJ19" t="str">
        <f>IF($AH19="","",IF(INDEX('النصاب الكامل'!$AK$3:$AX$31,MATCH($AH19,'النصاب الكامل'!$AK$3:$AK$31,0),AJ$6)=0,"",INDEX('النصاب الكامل'!$AK$3:$AX$31,MATCH($AH19,'النصاب الكامل'!$AK$3:$AK$31,0),AJ$6)))</f>
        <v/>
      </c>
      <c r="AK19" t="str">
        <f>IF($AH19="","",IF(INDEX('النصاب الكامل'!$AK$3:$AX$31,MATCH($AH19,'النصاب الكامل'!$AK$3:$AK$31,0),AK$6)=0,"",INDEX('النصاب الكامل'!$AK$3:$AX$31,MATCH($AH19,'النصاب الكامل'!$AK$3:$AK$31,0),AK$6)))</f>
        <v/>
      </c>
      <c r="AL19">
        <f>IF($AH19="","",IF(INDEX('النصاب الكامل'!$AK$3:$AX$31,MATCH($AH19,'النصاب الكامل'!$AK$3:$AK$31,0),AL$6)=0,"",INDEX('النصاب الكامل'!$AK$3:$AX$31,MATCH($AH19,'النصاب الكامل'!$AK$3:$AK$31,0),AL$6)))</f>
        <v>4</v>
      </c>
      <c r="AM19">
        <f>IF($AH19="","",IF(INDEX('النصاب الكامل'!$AK$3:$AX$31,MATCH($AH19,'النصاب الكامل'!$AK$3:$AK$31,0),AM$6)=0,"",INDEX('النصاب الكامل'!$AK$3:$AX$31,MATCH($AH19,'النصاب الكامل'!$AK$3:$AK$31,0),AM$6)))</f>
        <v>4</v>
      </c>
      <c r="AN19" t="str">
        <f>IF($AH19="","",IF(INDEX('النصاب الكامل'!$AK$3:$AX$31,MATCH($AH19,'النصاب الكامل'!$AK$3:$AK$31,0),AN$6)=0,"",INDEX('النصاب الكامل'!$AK$3:$AX$31,MATCH($AH19,'النصاب الكامل'!$AK$3:$AK$31,0),AN$6)))</f>
        <v/>
      </c>
      <c r="AO19" t="str">
        <f>IF($AH19="","",IF(INDEX('النصاب الكامل'!$AK$3:$AX$31,MATCH($AH19,'النصاب الكامل'!$AK$3:$AK$31,0),AO$6)=0,"",INDEX('النصاب الكامل'!$AK$3:$AX$31,MATCH($AH19,'النصاب الكامل'!$AK$3:$AK$31,0),AO$6)))</f>
        <v/>
      </c>
      <c r="AP19" t="str">
        <f>IF($AH19="","",IF(INDEX('النصاب الكامل'!$AK$3:$AX$31,MATCH($AH19,'النصاب الكامل'!$AK$3:$AK$31,0),AP$6)=0,"",INDEX('النصاب الكامل'!$AK$3:$AX$31,MATCH($AH19,'النصاب الكامل'!$AK$3:$AK$31,0),AP$6)))</f>
        <v/>
      </c>
      <c r="AQ19" t="str">
        <f>IF($AH19="","",IF(INDEX('النصاب الكامل'!$AK$3:$AX$31,MATCH($AH19,'النصاب الكامل'!$AK$3:$AK$31,0),AQ$6)=0,"",INDEX('النصاب الكامل'!$AK$3:$AX$31,MATCH($AH19,'النصاب الكامل'!$AK$3:$AK$31,0),AQ$6)))</f>
        <v/>
      </c>
      <c r="AR19">
        <f>IF($AH19="","",IF(INDEX('النصاب الكامل'!$AK$3:$AX$31,MATCH($AH19,'النصاب الكامل'!$AK$3:$AK$31,0),AR$6)=0,"",INDEX('النصاب الكامل'!$AK$3:$AX$31,MATCH($AH19,'النصاب الكامل'!$AK$3:$AK$31,0),AR$6)))</f>
        <v>5</v>
      </c>
      <c r="AS19">
        <f>IF($AH19="","",IF(INDEX('النصاب الكامل'!$AK$3:$AX$31,MATCH($AH19,'النصاب الكامل'!$AK$3:$AK$31,0),AS$6)=0,"",INDEX('النصاب الكامل'!$AK$3:$AX$31,MATCH($AH19,'النصاب الكامل'!$AK$3:$AK$31,0),AS$6)))</f>
        <v>5</v>
      </c>
      <c r="AT19" t="str">
        <f>IF($AH19="","",IF(INDEX('النصاب الكامل'!$AK$3:$AX$31,MATCH($AH19,'النصاب الكامل'!$AK$3:$AK$31,0),AT$6)=0,"",INDEX('النصاب الكامل'!$AK$3:$AX$31,MATCH($AH19,'النصاب الكامل'!$AK$3:$AK$31,0),AT$6)))</f>
        <v/>
      </c>
      <c r="AU19" t="str">
        <f>IF($AH19="","",IF(INDEX('النصاب الكامل'!$AK$3:$AX$31,MATCH($AH19,'النصاب الكامل'!$AK$3:$AK$31,0),AU$6)=0,"",INDEX('النصاب الكامل'!$AK$3:$AX$31,MATCH($AH19,'النصاب الكامل'!$AK$3:$AK$31,0),AU$6)))</f>
        <v/>
      </c>
      <c r="AW19">
        <f t="shared" si="3"/>
        <v>0</v>
      </c>
      <c r="AX19">
        <f>'النصاب الكامل'!A16</f>
        <v>14</v>
      </c>
      <c r="AY19" t="str">
        <f>'النصاب الكامل'!B16</f>
        <v>يحيى احمد</v>
      </c>
      <c r="AZ19" s="12">
        <f t="shared" si="4"/>
        <v>0</v>
      </c>
      <c r="BA19">
        <v>0</v>
      </c>
      <c r="BB19">
        <f t="shared" si="5"/>
        <v>0</v>
      </c>
    </row>
    <row r="20" spans="1:54" x14ac:dyDescent="0.45">
      <c r="A20" t="s">
        <v>59</v>
      </c>
      <c r="C20" t="str">
        <f>IF($B20="","",INDEX('النصاب الكامل'!$AK$3:$AX$31,MATCH($B20,'النصاب الكامل'!$AK$3:$AK$31,0),C$6))</f>
        <v/>
      </c>
      <c r="D20" t="str">
        <f>IF($B20="","",IF(INDEX('النصاب الكامل'!$AK$3:$AX$31,MATCH($B20,'النصاب الكامل'!$AK$3:$AK$31,0),D$6)=0,"",INDEX('النصاب الكامل'!$AK$3:$AX$31,MATCH($B20,'النصاب الكامل'!$AK$3:$AK$31,0),D$6)))</f>
        <v/>
      </c>
      <c r="E20" t="str">
        <f>IF($B20="","",IF(INDEX('النصاب الكامل'!$AK$3:$AX$31,MATCH($B20,'النصاب الكامل'!$AK$3:$AK$31,0),E$6)=0,"",INDEX('النصاب الكامل'!$AK$3:$AX$31,MATCH($B20,'النصاب الكامل'!$AK$3:$AK$31,0),E$6)))</f>
        <v/>
      </c>
      <c r="F20" t="str">
        <f>IF($B20="","",IF(INDEX('النصاب الكامل'!$AK$3:$AX$31,MATCH($B20,'النصاب الكامل'!$AK$3:$AK$31,0),F$6)=0,"",INDEX('النصاب الكامل'!$AK$3:$AX$31,MATCH($B20,'النصاب الكامل'!$AK$3:$AK$31,0),F$6)))</f>
        <v/>
      </c>
      <c r="G20" t="str">
        <f>IF($B20="","",IF(INDEX('النصاب الكامل'!$AK$3:$AX$31,MATCH($B20,'النصاب الكامل'!$AK$3:$AK$31,0),G$6)=0,"",INDEX('النصاب الكامل'!$AK$3:$AX$31,MATCH($B20,'النصاب الكامل'!$AK$3:$AK$31,0),G$6)))</f>
        <v/>
      </c>
      <c r="H20" t="str">
        <f>IF($B20="","",IF(INDEX('النصاب الكامل'!$AK$3:$AX$31,MATCH($B20,'النصاب الكامل'!$AK$3:$AK$31,0),H$6)=0,"",INDEX('النصاب الكامل'!$AK$3:$AX$31,MATCH($B20,'النصاب الكامل'!$AK$3:$AK$31,0),H$6)))</f>
        <v/>
      </c>
      <c r="I20" t="str">
        <f>IF($B20="","",IF(INDEX('النصاب الكامل'!$AK$3:$AX$31,MATCH($B20,'النصاب الكامل'!$AK$3:$AK$31,0),I$6)=0,"",INDEX('النصاب الكامل'!$AK$3:$AX$31,MATCH($B20,'النصاب الكامل'!$AK$3:$AK$31,0),I$6)))</f>
        <v/>
      </c>
      <c r="J20" t="str">
        <f>IF($B20="","",IF(INDEX('النصاب الكامل'!$AK$3:$AX$31,MATCH($B20,'النصاب الكامل'!$AK$3:$AK$31,0),J$6)=0,"",INDEX('النصاب الكامل'!$AK$3:$AX$31,MATCH($B20,'النصاب الكامل'!$AK$3:$AK$31,0),J$6)))</f>
        <v/>
      </c>
      <c r="K20" t="str">
        <f>IF($B20="","",IF(INDEX('النصاب الكامل'!$AK$3:$AX$31,MATCH($B20,'النصاب الكامل'!$AK$3:$AK$31,0),K$6)=0,"",INDEX('النصاب الكامل'!$AK$3:$AX$31,MATCH($B20,'النصاب الكامل'!$AK$3:$AK$31,0),K$6)))</f>
        <v/>
      </c>
      <c r="L20" t="str">
        <f>IF($B20="","",IF(INDEX('النصاب الكامل'!$AK$3:$AX$31,MATCH($B20,'النصاب الكامل'!$AK$3:$AK$31,0),L$6)=0,"",INDEX('النصاب الكامل'!$AK$3:$AX$31,MATCH($B20,'النصاب الكامل'!$AK$3:$AK$31,0),L$6)))</f>
        <v/>
      </c>
      <c r="M20" t="str">
        <f>IF($B20="","",IF(INDEX('النصاب الكامل'!$AK$3:$AX$31,MATCH($B20,'النصاب الكامل'!$AK$3:$AK$31,0),M$6)=0,"",INDEX('النصاب الكامل'!$AK$3:$AX$31,MATCH($B20,'النصاب الكامل'!$AK$3:$AK$31,0),M$6)))</f>
        <v/>
      </c>
      <c r="N20" t="str">
        <f>IF($B20="","",IF(INDEX('النصاب الكامل'!$AK$3:$AX$31,MATCH($B20,'النصاب الكامل'!$AK$3:$AK$31,0),N$6)=0,"",INDEX('النصاب الكامل'!$AK$3:$AX$31,MATCH($B20,'النصاب الكامل'!$AK$3:$AK$31,0),N$6)))</f>
        <v/>
      </c>
      <c r="O20" t="str">
        <f>IF($B20="","",IF(INDEX('النصاب الكامل'!$AK$3:$AX$31,MATCH($B20,'النصاب الكامل'!$AK$3:$AK$31,0),O$6)=0,"",INDEX('النصاب الكامل'!$AK$3:$AX$31,MATCH($B20,'النصاب الكامل'!$AK$3:$AK$31,0),O$6)))</f>
        <v/>
      </c>
      <c r="Q20" t="s">
        <v>59</v>
      </c>
      <c r="S20" t="str">
        <f>IF($R20="","",INDEX('النصاب الكامل'!$AK$3:$AX$31,MATCH($R20,'النصاب الكامل'!$AK$3:$AK$31,0),S$6))</f>
        <v/>
      </c>
      <c r="T20" t="str">
        <f>IF($R20="","",IF(INDEX('النصاب الكامل'!$AK$3:$AX$31,MATCH($R20,'النصاب الكامل'!$AK$3:$AK$31,0),T$6)=0,"",INDEX('النصاب الكامل'!$AK$3:$AX$31,MATCH($R20,'النصاب الكامل'!$AK$3:$AK$31,0),T$6)))</f>
        <v/>
      </c>
      <c r="U20" t="str">
        <f>IF($R20="","",IF(INDEX('النصاب الكامل'!$AK$3:$AX$31,MATCH($R20,'النصاب الكامل'!$AK$3:$AK$31,0),U$6)=0,"",INDEX('النصاب الكامل'!$AK$3:$AX$31,MATCH($R20,'النصاب الكامل'!$AK$3:$AK$31,0),U$6)))</f>
        <v/>
      </c>
      <c r="V20" t="str">
        <f>IF($R20="","",IF(INDEX('النصاب الكامل'!$AK$3:$AX$31,MATCH($R20,'النصاب الكامل'!$AK$3:$AK$31,0),V$6)=0,"",INDEX('النصاب الكامل'!$AK$3:$AX$31,MATCH($R20,'النصاب الكامل'!$AK$3:$AK$31,0),V$6)))</f>
        <v/>
      </c>
      <c r="W20" t="str">
        <f>IF($R20="","",IF(INDEX('النصاب الكامل'!$AK$3:$AX$31,MATCH($R20,'النصاب الكامل'!$AK$3:$AK$31,0),W$6)=0,"",INDEX('النصاب الكامل'!$AK$3:$AX$31,MATCH($R20,'النصاب الكامل'!$AK$3:$AK$31,0),W$6)))</f>
        <v/>
      </c>
      <c r="X20" t="str">
        <f>IF($R20="","",IF(INDEX('النصاب الكامل'!$AK$3:$AX$31,MATCH($R20,'النصاب الكامل'!$AK$3:$AK$31,0),X$6)=0,"",INDEX('النصاب الكامل'!$AK$3:$AX$31,MATCH($R20,'النصاب الكامل'!$AK$3:$AK$31,0),X$6)))</f>
        <v/>
      </c>
      <c r="Y20" t="str">
        <f>IF($R20="","",IF(INDEX('النصاب الكامل'!$AK$3:$AX$31,MATCH($R20,'النصاب الكامل'!$AK$3:$AK$31,0),Y$6)=0,"",INDEX('النصاب الكامل'!$AK$3:$AX$31,MATCH($R20,'النصاب الكامل'!$AK$3:$AK$31,0),Y$6)))</f>
        <v/>
      </c>
      <c r="Z20" t="str">
        <f>IF($R20="","",IF(INDEX('النصاب الكامل'!$AK$3:$AX$31,MATCH($R20,'النصاب الكامل'!$AK$3:$AK$31,0),Z$6)=0,"",INDEX('النصاب الكامل'!$AK$3:$AX$31,MATCH($R20,'النصاب الكامل'!$AK$3:$AK$31,0),Z$6)))</f>
        <v/>
      </c>
      <c r="AA20" t="str">
        <f>IF($R20="","",IF(INDEX('النصاب الكامل'!$AK$3:$AX$31,MATCH($R20,'النصاب الكامل'!$AK$3:$AK$31,0),AA$6)=0,"",INDEX('النصاب الكامل'!$AK$3:$AX$31,MATCH($R20,'النصاب الكامل'!$AK$3:$AK$31,0),AA$6)))</f>
        <v/>
      </c>
      <c r="AB20" t="str">
        <f>IF($R20="","",IF(INDEX('النصاب الكامل'!$AK$3:$AX$31,MATCH($R20,'النصاب الكامل'!$AK$3:$AK$31,0),AB$6)=0,"",INDEX('النصاب الكامل'!$AK$3:$AX$31,MATCH($R20,'النصاب الكامل'!$AK$3:$AK$31,0),AB$6)))</f>
        <v/>
      </c>
      <c r="AC20" t="str">
        <f>IF($R20="","",IF(INDEX('النصاب الكامل'!$AK$3:$AX$31,MATCH($R20,'النصاب الكامل'!$AK$3:$AK$31,0),AC$6)=0,"",INDEX('النصاب الكامل'!$AK$3:$AX$31,MATCH($R20,'النصاب الكامل'!$AK$3:$AK$31,0),AC$6)))</f>
        <v/>
      </c>
      <c r="AD20" t="str">
        <f>IF($R20="","",IF(INDEX('النصاب الكامل'!$AK$3:$AX$31,MATCH($R20,'النصاب الكامل'!$AK$3:$AK$31,0),AD$6)=0,"",INDEX('النصاب الكامل'!$AK$3:$AX$31,MATCH($R20,'النصاب الكامل'!$AK$3:$AK$31,0),AD$6)))</f>
        <v/>
      </c>
      <c r="AE20" t="str">
        <f>IF($R20="","",IF(INDEX('النصاب الكامل'!$AK$3:$AX$31,MATCH($R20,'النصاب الكامل'!$AK$3:$AK$31,0),AE$6)=0,"",INDEX('النصاب الكامل'!$AK$3:$AX$31,MATCH($R20,'النصاب الكامل'!$AK$3:$AK$31,0),AE$6)))</f>
        <v/>
      </c>
      <c r="AG20" t="s">
        <v>59</v>
      </c>
      <c r="AI20" t="str">
        <f>IF($AH20="","",INDEX('النصاب الكامل'!$AK$3:$AX$31,MATCH($AH20,'النصاب الكامل'!$AK$3:$AK$31,0),AI$6))</f>
        <v/>
      </c>
      <c r="AJ20" t="str">
        <f>IF($AH20="","",IF(INDEX('النصاب الكامل'!$AK$3:$AX$31,MATCH($AH20,'النصاب الكامل'!$AK$3:$AK$31,0),AJ$6)=0,"",INDEX('النصاب الكامل'!$AK$3:$AX$31,MATCH($AH20,'النصاب الكامل'!$AK$3:$AK$31,0),AJ$6)))</f>
        <v/>
      </c>
      <c r="AK20" t="str">
        <f>IF($AH20="","",IF(INDEX('النصاب الكامل'!$AK$3:$AX$31,MATCH($AH20,'النصاب الكامل'!$AK$3:$AK$31,0),AK$6)=0,"",INDEX('النصاب الكامل'!$AK$3:$AX$31,MATCH($AH20,'النصاب الكامل'!$AK$3:$AK$31,0),AK$6)))</f>
        <v/>
      </c>
      <c r="AL20" t="str">
        <f>IF($AH20="","",IF(INDEX('النصاب الكامل'!$AK$3:$AX$31,MATCH($AH20,'النصاب الكامل'!$AK$3:$AK$31,0),AL$6)=0,"",INDEX('النصاب الكامل'!$AK$3:$AX$31,MATCH($AH20,'النصاب الكامل'!$AK$3:$AK$31,0),AL$6)))</f>
        <v/>
      </c>
      <c r="AM20" t="str">
        <f>IF($AH20="","",IF(INDEX('النصاب الكامل'!$AK$3:$AX$31,MATCH($AH20,'النصاب الكامل'!$AK$3:$AK$31,0),AM$6)=0,"",INDEX('النصاب الكامل'!$AK$3:$AX$31,MATCH($AH20,'النصاب الكامل'!$AK$3:$AK$31,0),AM$6)))</f>
        <v/>
      </c>
      <c r="AN20" t="str">
        <f>IF($AH20="","",IF(INDEX('النصاب الكامل'!$AK$3:$AX$31,MATCH($AH20,'النصاب الكامل'!$AK$3:$AK$31,0),AN$6)=0,"",INDEX('النصاب الكامل'!$AK$3:$AX$31,MATCH($AH20,'النصاب الكامل'!$AK$3:$AK$31,0),AN$6)))</f>
        <v/>
      </c>
      <c r="AO20" t="str">
        <f>IF($AH20="","",IF(INDEX('النصاب الكامل'!$AK$3:$AX$31,MATCH($AH20,'النصاب الكامل'!$AK$3:$AK$31,0),AO$6)=0,"",INDEX('النصاب الكامل'!$AK$3:$AX$31,MATCH($AH20,'النصاب الكامل'!$AK$3:$AK$31,0),AO$6)))</f>
        <v/>
      </c>
      <c r="AP20" t="str">
        <f>IF($AH20="","",IF(INDEX('النصاب الكامل'!$AK$3:$AX$31,MATCH($AH20,'النصاب الكامل'!$AK$3:$AK$31,0),AP$6)=0,"",INDEX('النصاب الكامل'!$AK$3:$AX$31,MATCH($AH20,'النصاب الكامل'!$AK$3:$AK$31,0),AP$6)))</f>
        <v/>
      </c>
      <c r="AQ20" t="str">
        <f>IF($AH20="","",IF(INDEX('النصاب الكامل'!$AK$3:$AX$31,MATCH($AH20,'النصاب الكامل'!$AK$3:$AK$31,0),AQ$6)=0,"",INDEX('النصاب الكامل'!$AK$3:$AX$31,MATCH($AH20,'النصاب الكامل'!$AK$3:$AK$31,0),AQ$6)))</f>
        <v/>
      </c>
      <c r="AR20" t="str">
        <f>IF($AH20="","",IF(INDEX('النصاب الكامل'!$AK$3:$AX$31,MATCH($AH20,'النصاب الكامل'!$AK$3:$AK$31,0),AR$6)=0,"",INDEX('النصاب الكامل'!$AK$3:$AX$31,MATCH($AH20,'النصاب الكامل'!$AK$3:$AK$31,0),AR$6)))</f>
        <v/>
      </c>
      <c r="AS20" t="str">
        <f>IF($AH20="","",IF(INDEX('النصاب الكامل'!$AK$3:$AX$31,MATCH($AH20,'النصاب الكامل'!$AK$3:$AK$31,0),AS$6)=0,"",INDEX('النصاب الكامل'!$AK$3:$AX$31,MATCH($AH20,'النصاب الكامل'!$AK$3:$AK$31,0),AS$6)))</f>
        <v/>
      </c>
      <c r="AT20" t="str">
        <f>IF($AH20="","",IF(INDEX('النصاب الكامل'!$AK$3:$AX$31,MATCH($AH20,'النصاب الكامل'!$AK$3:$AK$31,0),AT$6)=0,"",INDEX('النصاب الكامل'!$AK$3:$AX$31,MATCH($AH20,'النصاب الكامل'!$AK$3:$AK$31,0),AT$6)))</f>
        <v/>
      </c>
      <c r="AU20" t="str">
        <f>IF($AH20="","",IF(INDEX('النصاب الكامل'!$AK$3:$AX$31,MATCH($AH20,'النصاب الكامل'!$AK$3:$AK$31,0),AU$6)=0,"",INDEX('النصاب الكامل'!$AK$3:$AX$31,MATCH($AH20,'النصاب الكامل'!$AK$3:$AK$31,0),AU$6)))</f>
        <v/>
      </c>
      <c r="AW20">
        <f>R8</f>
        <v>1</v>
      </c>
      <c r="AX20">
        <f>'النصاب الكامل'!A17</f>
        <v>15</v>
      </c>
      <c r="AY20" t="str">
        <f>'النصاب الكامل'!B17</f>
        <v>أبو محمد</v>
      </c>
      <c r="AZ20" s="12">
        <f t="shared" si="4"/>
        <v>0</v>
      </c>
      <c r="BA20">
        <v>0</v>
      </c>
      <c r="BB20">
        <f t="shared" si="5"/>
        <v>0</v>
      </c>
    </row>
    <row r="21" spans="1:54" x14ac:dyDescent="0.45">
      <c r="A21" t="s">
        <v>60</v>
      </c>
      <c r="C21" t="str">
        <f>IF($B21="","",INDEX('النصاب الكامل'!$AK$3:$AX$31,MATCH($B21,'النصاب الكامل'!$AK$3:$AK$31,0),C$6))</f>
        <v/>
      </c>
      <c r="D21" t="str">
        <f>IF($B21="","",IF(INDEX('النصاب الكامل'!$AK$3:$AX$31,MATCH($B21,'النصاب الكامل'!$AK$3:$AK$31,0),D$6)=0,"",INDEX('النصاب الكامل'!$AK$3:$AX$31,MATCH($B21,'النصاب الكامل'!$AK$3:$AK$31,0),D$6)))</f>
        <v/>
      </c>
      <c r="E21" t="str">
        <f>IF($B21="","",IF(INDEX('النصاب الكامل'!$AK$3:$AX$31,MATCH($B21,'النصاب الكامل'!$AK$3:$AK$31,0),E$6)=0,"",INDEX('النصاب الكامل'!$AK$3:$AX$31,MATCH($B21,'النصاب الكامل'!$AK$3:$AK$31,0),E$6)))</f>
        <v/>
      </c>
      <c r="F21" t="str">
        <f>IF($B21="","",IF(INDEX('النصاب الكامل'!$AK$3:$AX$31,MATCH($B21,'النصاب الكامل'!$AK$3:$AK$31,0),F$6)=0,"",INDEX('النصاب الكامل'!$AK$3:$AX$31,MATCH($B21,'النصاب الكامل'!$AK$3:$AK$31,0),F$6)))</f>
        <v/>
      </c>
      <c r="G21" t="str">
        <f>IF($B21="","",IF(INDEX('النصاب الكامل'!$AK$3:$AX$31,MATCH($B21,'النصاب الكامل'!$AK$3:$AK$31,0),G$6)=0,"",INDEX('النصاب الكامل'!$AK$3:$AX$31,MATCH($B21,'النصاب الكامل'!$AK$3:$AK$31,0),G$6)))</f>
        <v/>
      </c>
      <c r="H21" t="str">
        <f>IF($B21="","",IF(INDEX('النصاب الكامل'!$AK$3:$AX$31,MATCH($B21,'النصاب الكامل'!$AK$3:$AK$31,0),H$6)=0,"",INDEX('النصاب الكامل'!$AK$3:$AX$31,MATCH($B21,'النصاب الكامل'!$AK$3:$AK$31,0),H$6)))</f>
        <v/>
      </c>
      <c r="I21" t="str">
        <f>IF($B21="","",IF(INDEX('النصاب الكامل'!$AK$3:$AX$31,MATCH($B21,'النصاب الكامل'!$AK$3:$AK$31,0),I$6)=0,"",INDEX('النصاب الكامل'!$AK$3:$AX$31,MATCH($B21,'النصاب الكامل'!$AK$3:$AK$31,0),I$6)))</f>
        <v/>
      </c>
      <c r="J21" t="str">
        <f>IF($B21="","",IF(INDEX('النصاب الكامل'!$AK$3:$AX$31,MATCH($B21,'النصاب الكامل'!$AK$3:$AK$31,0),J$6)=0,"",INDEX('النصاب الكامل'!$AK$3:$AX$31,MATCH($B21,'النصاب الكامل'!$AK$3:$AK$31,0),J$6)))</f>
        <v/>
      </c>
      <c r="K21" t="str">
        <f>IF($B21="","",IF(INDEX('النصاب الكامل'!$AK$3:$AX$31,MATCH($B21,'النصاب الكامل'!$AK$3:$AK$31,0),K$6)=0,"",INDEX('النصاب الكامل'!$AK$3:$AX$31,MATCH($B21,'النصاب الكامل'!$AK$3:$AK$31,0),K$6)))</f>
        <v/>
      </c>
      <c r="L21" t="str">
        <f>IF($B21="","",IF(INDEX('النصاب الكامل'!$AK$3:$AX$31,MATCH($B21,'النصاب الكامل'!$AK$3:$AK$31,0),L$6)=0,"",INDEX('النصاب الكامل'!$AK$3:$AX$31,MATCH($B21,'النصاب الكامل'!$AK$3:$AK$31,0),L$6)))</f>
        <v/>
      </c>
      <c r="M21" t="str">
        <f>IF($B21="","",IF(INDEX('النصاب الكامل'!$AK$3:$AX$31,MATCH($B21,'النصاب الكامل'!$AK$3:$AK$31,0),M$6)=0,"",INDEX('النصاب الكامل'!$AK$3:$AX$31,MATCH($B21,'النصاب الكامل'!$AK$3:$AK$31,0),M$6)))</f>
        <v/>
      </c>
      <c r="N21" t="str">
        <f>IF($B21="","",IF(INDEX('النصاب الكامل'!$AK$3:$AX$31,MATCH($B21,'النصاب الكامل'!$AK$3:$AK$31,0),N$6)=0,"",INDEX('النصاب الكامل'!$AK$3:$AX$31,MATCH($B21,'النصاب الكامل'!$AK$3:$AK$31,0),N$6)))</f>
        <v/>
      </c>
      <c r="O21" t="str">
        <f>IF($B21="","",IF(INDEX('النصاب الكامل'!$AK$3:$AX$31,MATCH($B21,'النصاب الكامل'!$AK$3:$AK$31,0),O$6)=0,"",INDEX('النصاب الكامل'!$AK$3:$AX$31,MATCH($B21,'النصاب الكامل'!$AK$3:$AK$31,0),O$6)))</f>
        <v/>
      </c>
      <c r="Q21" t="s">
        <v>60</v>
      </c>
      <c r="S21" t="str">
        <f>IF($R21="","",INDEX('النصاب الكامل'!$AK$3:$AX$31,MATCH($R21,'النصاب الكامل'!$AK$3:$AK$31,0),S$6))</f>
        <v/>
      </c>
      <c r="T21" t="str">
        <f>IF($R21="","",IF(INDEX('النصاب الكامل'!$AK$3:$AX$31,MATCH($R21,'النصاب الكامل'!$AK$3:$AK$31,0),T$6)=0,"",INDEX('النصاب الكامل'!$AK$3:$AX$31,MATCH($R21,'النصاب الكامل'!$AK$3:$AK$31,0),T$6)))</f>
        <v/>
      </c>
      <c r="U21" t="str">
        <f>IF($R21="","",IF(INDEX('النصاب الكامل'!$AK$3:$AX$31,MATCH($R21,'النصاب الكامل'!$AK$3:$AK$31,0),U$6)=0,"",INDEX('النصاب الكامل'!$AK$3:$AX$31,MATCH($R21,'النصاب الكامل'!$AK$3:$AK$31,0),U$6)))</f>
        <v/>
      </c>
      <c r="V21" t="str">
        <f>IF($R21="","",IF(INDEX('النصاب الكامل'!$AK$3:$AX$31,MATCH($R21,'النصاب الكامل'!$AK$3:$AK$31,0),V$6)=0,"",INDEX('النصاب الكامل'!$AK$3:$AX$31,MATCH($R21,'النصاب الكامل'!$AK$3:$AK$31,0),V$6)))</f>
        <v/>
      </c>
      <c r="W21" t="str">
        <f>IF($R21="","",IF(INDEX('النصاب الكامل'!$AK$3:$AX$31,MATCH($R21,'النصاب الكامل'!$AK$3:$AK$31,0),W$6)=0,"",INDEX('النصاب الكامل'!$AK$3:$AX$31,MATCH($R21,'النصاب الكامل'!$AK$3:$AK$31,0),W$6)))</f>
        <v/>
      </c>
      <c r="X21" t="str">
        <f>IF($R21="","",IF(INDEX('النصاب الكامل'!$AK$3:$AX$31,MATCH($R21,'النصاب الكامل'!$AK$3:$AK$31,0),X$6)=0,"",INDEX('النصاب الكامل'!$AK$3:$AX$31,MATCH($R21,'النصاب الكامل'!$AK$3:$AK$31,0),X$6)))</f>
        <v/>
      </c>
      <c r="Y21" t="str">
        <f>IF($R21="","",IF(INDEX('النصاب الكامل'!$AK$3:$AX$31,MATCH($R21,'النصاب الكامل'!$AK$3:$AK$31,0),Y$6)=0,"",INDEX('النصاب الكامل'!$AK$3:$AX$31,MATCH($R21,'النصاب الكامل'!$AK$3:$AK$31,0),Y$6)))</f>
        <v/>
      </c>
      <c r="Z21" t="str">
        <f>IF($R21="","",IF(INDEX('النصاب الكامل'!$AK$3:$AX$31,MATCH($R21,'النصاب الكامل'!$AK$3:$AK$31,0),Z$6)=0,"",INDEX('النصاب الكامل'!$AK$3:$AX$31,MATCH($R21,'النصاب الكامل'!$AK$3:$AK$31,0),Z$6)))</f>
        <v/>
      </c>
      <c r="AA21" t="str">
        <f>IF($R21="","",IF(INDEX('النصاب الكامل'!$AK$3:$AX$31,MATCH($R21,'النصاب الكامل'!$AK$3:$AK$31,0),AA$6)=0,"",INDEX('النصاب الكامل'!$AK$3:$AX$31,MATCH($R21,'النصاب الكامل'!$AK$3:$AK$31,0),AA$6)))</f>
        <v/>
      </c>
      <c r="AB21" t="str">
        <f>IF($R21="","",IF(INDEX('النصاب الكامل'!$AK$3:$AX$31,MATCH($R21,'النصاب الكامل'!$AK$3:$AK$31,0),AB$6)=0,"",INDEX('النصاب الكامل'!$AK$3:$AX$31,MATCH($R21,'النصاب الكامل'!$AK$3:$AK$31,0),AB$6)))</f>
        <v/>
      </c>
      <c r="AC21" t="str">
        <f>IF($R21="","",IF(INDEX('النصاب الكامل'!$AK$3:$AX$31,MATCH($R21,'النصاب الكامل'!$AK$3:$AK$31,0),AC$6)=0,"",INDEX('النصاب الكامل'!$AK$3:$AX$31,MATCH($R21,'النصاب الكامل'!$AK$3:$AK$31,0),AC$6)))</f>
        <v/>
      </c>
      <c r="AD21" t="str">
        <f>IF($R21="","",IF(INDEX('النصاب الكامل'!$AK$3:$AX$31,MATCH($R21,'النصاب الكامل'!$AK$3:$AK$31,0),AD$6)=0,"",INDEX('النصاب الكامل'!$AK$3:$AX$31,MATCH($R21,'النصاب الكامل'!$AK$3:$AK$31,0),AD$6)))</f>
        <v/>
      </c>
      <c r="AE21" t="str">
        <f>IF($R21="","",IF(INDEX('النصاب الكامل'!$AK$3:$AX$31,MATCH($R21,'النصاب الكامل'!$AK$3:$AK$31,0),AE$6)=0,"",INDEX('النصاب الكامل'!$AK$3:$AX$31,MATCH($R21,'النصاب الكامل'!$AK$3:$AK$31,0),AE$6)))</f>
        <v/>
      </c>
      <c r="AG21" t="s">
        <v>60</v>
      </c>
      <c r="AI21" t="str">
        <f>IF($AH21="","",INDEX('النصاب الكامل'!$AK$3:$AX$31,MATCH($AH21,'النصاب الكامل'!$AK$3:$AK$31,0),AI$6))</f>
        <v/>
      </c>
      <c r="AJ21" t="str">
        <f>IF($AH21="","",IF(INDEX('النصاب الكامل'!$AK$3:$AX$31,MATCH($AH21,'النصاب الكامل'!$AK$3:$AK$31,0),AJ$6)=0,"",INDEX('النصاب الكامل'!$AK$3:$AX$31,MATCH($AH21,'النصاب الكامل'!$AK$3:$AK$31,0),AJ$6)))</f>
        <v/>
      </c>
      <c r="AK21" t="str">
        <f>IF($AH21="","",IF(INDEX('النصاب الكامل'!$AK$3:$AX$31,MATCH($AH21,'النصاب الكامل'!$AK$3:$AK$31,0),AK$6)=0,"",INDEX('النصاب الكامل'!$AK$3:$AX$31,MATCH($AH21,'النصاب الكامل'!$AK$3:$AK$31,0),AK$6)))</f>
        <v/>
      </c>
      <c r="AL21" t="str">
        <f>IF($AH21="","",IF(INDEX('النصاب الكامل'!$AK$3:$AX$31,MATCH($AH21,'النصاب الكامل'!$AK$3:$AK$31,0),AL$6)=0,"",INDEX('النصاب الكامل'!$AK$3:$AX$31,MATCH($AH21,'النصاب الكامل'!$AK$3:$AK$31,0),AL$6)))</f>
        <v/>
      </c>
      <c r="AM21" t="str">
        <f>IF($AH21="","",IF(INDEX('النصاب الكامل'!$AK$3:$AX$31,MATCH($AH21,'النصاب الكامل'!$AK$3:$AK$31,0),AM$6)=0,"",INDEX('النصاب الكامل'!$AK$3:$AX$31,MATCH($AH21,'النصاب الكامل'!$AK$3:$AK$31,0),AM$6)))</f>
        <v/>
      </c>
      <c r="AN21" t="str">
        <f>IF($AH21="","",IF(INDEX('النصاب الكامل'!$AK$3:$AX$31,MATCH($AH21,'النصاب الكامل'!$AK$3:$AK$31,0),AN$6)=0,"",INDEX('النصاب الكامل'!$AK$3:$AX$31,MATCH($AH21,'النصاب الكامل'!$AK$3:$AK$31,0),AN$6)))</f>
        <v/>
      </c>
      <c r="AO21" t="str">
        <f>IF($AH21="","",IF(INDEX('النصاب الكامل'!$AK$3:$AX$31,MATCH($AH21,'النصاب الكامل'!$AK$3:$AK$31,0),AO$6)=0,"",INDEX('النصاب الكامل'!$AK$3:$AX$31,MATCH($AH21,'النصاب الكامل'!$AK$3:$AK$31,0),AO$6)))</f>
        <v/>
      </c>
      <c r="AP21" t="str">
        <f>IF($AH21="","",IF(INDEX('النصاب الكامل'!$AK$3:$AX$31,MATCH($AH21,'النصاب الكامل'!$AK$3:$AK$31,0),AP$6)=0,"",INDEX('النصاب الكامل'!$AK$3:$AX$31,MATCH($AH21,'النصاب الكامل'!$AK$3:$AK$31,0),AP$6)))</f>
        <v/>
      </c>
      <c r="AQ21" t="str">
        <f>IF($AH21="","",IF(INDEX('النصاب الكامل'!$AK$3:$AX$31,MATCH($AH21,'النصاب الكامل'!$AK$3:$AK$31,0),AQ$6)=0,"",INDEX('النصاب الكامل'!$AK$3:$AX$31,MATCH($AH21,'النصاب الكامل'!$AK$3:$AK$31,0),AQ$6)))</f>
        <v/>
      </c>
      <c r="AR21" t="str">
        <f>IF($AH21="","",IF(INDEX('النصاب الكامل'!$AK$3:$AX$31,MATCH($AH21,'النصاب الكامل'!$AK$3:$AK$31,0),AR$6)=0,"",INDEX('النصاب الكامل'!$AK$3:$AX$31,MATCH($AH21,'النصاب الكامل'!$AK$3:$AK$31,0),AR$6)))</f>
        <v/>
      </c>
      <c r="AS21" t="str">
        <f>IF($AH21="","",IF(INDEX('النصاب الكامل'!$AK$3:$AX$31,MATCH($AH21,'النصاب الكامل'!$AK$3:$AK$31,0),AS$6)=0,"",INDEX('النصاب الكامل'!$AK$3:$AX$31,MATCH($AH21,'النصاب الكامل'!$AK$3:$AK$31,0),AS$6)))</f>
        <v/>
      </c>
      <c r="AT21" t="str">
        <f>IF($AH21="","",IF(INDEX('النصاب الكامل'!$AK$3:$AX$31,MATCH($AH21,'النصاب الكامل'!$AK$3:$AK$31,0),AT$6)=0,"",INDEX('النصاب الكامل'!$AK$3:$AX$31,MATCH($AH21,'النصاب الكامل'!$AK$3:$AK$31,0),AT$6)))</f>
        <v/>
      </c>
      <c r="AU21" t="str">
        <f>IF($AH21="","",IF(INDEX('النصاب الكامل'!$AK$3:$AX$31,MATCH($AH21,'النصاب الكامل'!$AK$3:$AK$31,0),AU$6)=0,"",INDEX('النصاب الكامل'!$AK$3:$AX$31,MATCH($AH21,'النصاب الكامل'!$AK$3:$AK$31,0),AU$6)))</f>
        <v/>
      </c>
      <c r="AW21">
        <f t="shared" ref="AW21:AW33" si="6">R9</f>
        <v>2</v>
      </c>
      <c r="AX21">
        <f>'النصاب الكامل'!A18</f>
        <v>16</v>
      </c>
      <c r="AY21" t="str">
        <f>'النصاب الكامل'!B18</f>
        <v>ماهر</v>
      </c>
      <c r="AZ21" s="12">
        <f t="shared" si="4"/>
        <v>3</v>
      </c>
      <c r="BA21">
        <v>3</v>
      </c>
      <c r="BB21">
        <f t="shared" si="5"/>
        <v>0</v>
      </c>
    </row>
    <row r="22" spans="1:54" x14ac:dyDescent="0.45">
      <c r="B22">
        <f>COUNT(B8:B21)</f>
        <v>12</v>
      </c>
      <c r="D22">
        <f t="shared" ref="D22:O22" si="7">COUNT(D8:D21)</f>
        <v>4</v>
      </c>
      <c r="E22">
        <f t="shared" si="7"/>
        <v>0</v>
      </c>
      <c r="F22">
        <f t="shared" si="7"/>
        <v>5</v>
      </c>
      <c r="G22">
        <f t="shared" si="7"/>
        <v>5</v>
      </c>
      <c r="H22">
        <f t="shared" si="7"/>
        <v>5</v>
      </c>
      <c r="I22">
        <f t="shared" si="7"/>
        <v>5</v>
      </c>
      <c r="J22">
        <f t="shared" si="7"/>
        <v>4</v>
      </c>
      <c r="K22">
        <f t="shared" si="7"/>
        <v>4</v>
      </c>
      <c r="L22">
        <f t="shared" si="7"/>
        <v>4</v>
      </c>
      <c r="M22">
        <f t="shared" si="7"/>
        <v>4</v>
      </c>
      <c r="N22">
        <f t="shared" si="7"/>
        <v>3</v>
      </c>
      <c r="O22">
        <f t="shared" si="7"/>
        <v>3</v>
      </c>
      <c r="R22">
        <f>COUNT(R8:R21)</f>
        <v>12</v>
      </c>
      <c r="T22">
        <f>COUNT(T8:T21)</f>
        <v>5</v>
      </c>
      <c r="U22">
        <f t="shared" ref="U22" si="8">COUNT(U8:U21)</f>
        <v>0</v>
      </c>
      <c r="V22">
        <f t="shared" ref="V22" si="9">COUNT(V8:V21)</f>
        <v>5</v>
      </c>
      <c r="W22">
        <f t="shared" ref="W22" si="10">COUNT(W8:W21)</f>
        <v>5</v>
      </c>
      <c r="X22">
        <f t="shared" ref="X22" si="11">COUNT(X8:X21)</f>
        <v>5</v>
      </c>
      <c r="Y22">
        <f t="shared" ref="Y22" si="12">COUNT(Y8:Y21)</f>
        <v>5</v>
      </c>
      <c r="Z22">
        <f t="shared" ref="Z22" si="13">COUNT(Z8:Z21)</f>
        <v>3</v>
      </c>
      <c r="AA22">
        <f t="shared" ref="AA22" si="14">COUNT(AA8:AA21)</f>
        <v>3</v>
      </c>
      <c r="AB22">
        <f t="shared" ref="AB22" si="15">COUNT(AB8:AB21)</f>
        <v>4</v>
      </c>
      <c r="AC22">
        <f t="shared" ref="AC22" si="16">COUNT(AC8:AC21)</f>
        <v>4</v>
      </c>
      <c r="AD22">
        <f t="shared" ref="AD22" si="17">COUNT(AD8:AD21)</f>
        <v>2</v>
      </c>
      <c r="AE22">
        <f t="shared" ref="AE22" si="18">COUNT(AE8:AE21)</f>
        <v>2</v>
      </c>
      <c r="AH22">
        <f>COUNT(AH8:AH21)</f>
        <v>12</v>
      </c>
      <c r="AJ22">
        <f>COUNT(AJ8:AJ21)</f>
        <v>5</v>
      </c>
      <c r="AK22">
        <f t="shared" ref="AK22" si="19">COUNT(AK8:AK21)</f>
        <v>0</v>
      </c>
      <c r="AL22">
        <f t="shared" ref="AL22" si="20">COUNT(AL8:AL21)</f>
        <v>5</v>
      </c>
      <c r="AM22">
        <f t="shared" ref="AM22" si="21">COUNT(AM8:AM21)</f>
        <v>5</v>
      </c>
      <c r="AN22">
        <f t="shared" ref="AN22" si="22">COUNT(AN8:AN21)</f>
        <v>4</v>
      </c>
      <c r="AO22">
        <f t="shared" ref="AO22" si="23">COUNT(AO8:AO21)</f>
        <v>4</v>
      </c>
      <c r="AP22">
        <f t="shared" ref="AP22" si="24">COUNT(AP8:AP21)</f>
        <v>3</v>
      </c>
      <c r="AQ22">
        <f t="shared" ref="AQ22" si="25">COUNT(AQ8:AQ21)</f>
        <v>3</v>
      </c>
      <c r="AR22">
        <f t="shared" ref="AR22" si="26">COUNT(AR8:AR21)</f>
        <v>4</v>
      </c>
      <c r="AS22">
        <f t="shared" ref="AS22" si="27">COUNT(AS8:AS21)</f>
        <v>4</v>
      </c>
      <c r="AT22">
        <f t="shared" ref="AT22" si="28">COUNT(AT8:AT21)</f>
        <v>4</v>
      </c>
      <c r="AU22">
        <f t="shared" ref="AU22" si="29">COUNT(AU8:AU21)</f>
        <v>4</v>
      </c>
      <c r="AW22">
        <f t="shared" si="6"/>
        <v>6</v>
      </c>
      <c r="AX22">
        <f>'النصاب الكامل'!A19</f>
        <v>17</v>
      </c>
      <c r="AY22" t="str">
        <f>'النصاب الكامل'!B19</f>
        <v>محمد علي</v>
      </c>
      <c r="AZ22" s="12">
        <f t="shared" si="4"/>
        <v>0</v>
      </c>
      <c r="BA22">
        <v>0</v>
      </c>
      <c r="BB22">
        <f t="shared" si="5"/>
        <v>0</v>
      </c>
    </row>
    <row r="23" spans="1:54" x14ac:dyDescent="0.45">
      <c r="D23">
        <f t="shared" ref="D23:O23" si="30">SUM(D8:D21)</f>
        <v>11</v>
      </c>
      <c r="E23">
        <f t="shared" si="30"/>
        <v>0</v>
      </c>
      <c r="F23">
        <f t="shared" si="30"/>
        <v>18</v>
      </c>
      <c r="G23">
        <f t="shared" si="30"/>
        <v>18</v>
      </c>
      <c r="H23">
        <f t="shared" si="30"/>
        <v>15</v>
      </c>
      <c r="I23">
        <f t="shared" si="30"/>
        <v>15</v>
      </c>
      <c r="J23">
        <f t="shared" si="30"/>
        <v>13</v>
      </c>
      <c r="K23">
        <f t="shared" si="30"/>
        <v>13</v>
      </c>
      <c r="L23">
        <f t="shared" si="30"/>
        <v>15</v>
      </c>
      <c r="M23">
        <f t="shared" si="30"/>
        <v>15</v>
      </c>
      <c r="N23">
        <f t="shared" si="30"/>
        <v>9</v>
      </c>
      <c r="O23">
        <f t="shared" si="30"/>
        <v>9</v>
      </c>
      <c r="T23">
        <f>SUM(T8:T21)</f>
        <v>21</v>
      </c>
      <c r="U23">
        <f t="shared" ref="U23:AE23" si="31">SUM(U8:U21)</f>
        <v>0</v>
      </c>
      <c r="V23">
        <f t="shared" si="31"/>
        <v>16</v>
      </c>
      <c r="W23">
        <f t="shared" si="31"/>
        <v>16</v>
      </c>
      <c r="X23">
        <f t="shared" si="31"/>
        <v>21</v>
      </c>
      <c r="Y23">
        <f t="shared" si="31"/>
        <v>21</v>
      </c>
      <c r="Z23">
        <f t="shared" si="31"/>
        <v>11</v>
      </c>
      <c r="AA23">
        <f t="shared" si="31"/>
        <v>11</v>
      </c>
      <c r="AB23">
        <f t="shared" si="31"/>
        <v>16</v>
      </c>
      <c r="AC23">
        <f t="shared" si="31"/>
        <v>16</v>
      </c>
      <c r="AD23">
        <f t="shared" si="31"/>
        <v>7</v>
      </c>
      <c r="AE23">
        <f t="shared" si="31"/>
        <v>7</v>
      </c>
      <c r="AJ23">
        <f>SUM(AJ8:AJ21)</f>
        <v>19</v>
      </c>
      <c r="AK23">
        <f t="shared" ref="AK23:AU23" si="32">SUM(AK8:AK21)</f>
        <v>0</v>
      </c>
      <c r="AL23">
        <f t="shared" si="32"/>
        <v>17</v>
      </c>
      <c r="AM23">
        <f t="shared" si="32"/>
        <v>17</v>
      </c>
      <c r="AN23">
        <f t="shared" si="32"/>
        <v>15</v>
      </c>
      <c r="AO23">
        <f t="shared" si="32"/>
        <v>15</v>
      </c>
      <c r="AP23">
        <f t="shared" si="32"/>
        <v>10</v>
      </c>
      <c r="AQ23">
        <f t="shared" si="32"/>
        <v>10</v>
      </c>
      <c r="AR23">
        <f t="shared" si="32"/>
        <v>18</v>
      </c>
      <c r="AS23">
        <f t="shared" si="32"/>
        <v>18</v>
      </c>
      <c r="AT23">
        <f t="shared" si="32"/>
        <v>14</v>
      </c>
      <c r="AU23">
        <f t="shared" si="32"/>
        <v>14</v>
      </c>
      <c r="AW23">
        <f t="shared" si="6"/>
        <v>7</v>
      </c>
      <c r="AX23">
        <f>'النصاب الكامل'!A20</f>
        <v>18</v>
      </c>
      <c r="AY23" t="str">
        <f>'النصاب الكامل'!B20</f>
        <v>سالم يحيى</v>
      </c>
      <c r="AZ23" s="12">
        <f t="shared" si="4"/>
        <v>3</v>
      </c>
      <c r="BA23">
        <v>3</v>
      </c>
      <c r="BB23">
        <f t="shared" si="5"/>
        <v>0</v>
      </c>
    </row>
    <row r="24" spans="1:54" x14ac:dyDescent="0.45">
      <c r="AW24">
        <f t="shared" si="6"/>
        <v>8</v>
      </c>
      <c r="AX24">
        <f>'النصاب الكامل'!A21</f>
        <v>19</v>
      </c>
      <c r="AY24" t="str">
        <f>'النصاب الكامل'!B21</f>
        <v>محمود</v>
      </c>
      <c r="AZ24" s="12">
        <f t="shared" si="4"/>
        <v>3</v>
      </c>
      <c r="BA24">
        <v>3</v>
      </c>
      <c r="BB24">
        <f t="shared" si="5"/>
        <v>0</v>
      </c>
    </row>
    <row r="25" spans="1:54" x14ac:dyDescent="0.45">
      <c r="C25">
        <v>2</v>
      </c>
      <c r="D25">
        <f>C25+1</f>
        <v>3</v>
      </c>
      <c r="E25">
        <f t="shared" ref="E25:O25" si="33">D25+1</f>
        <v>4</v>
      </c>
      <c r="F25">
        <f t="shared" si="33"/>
        <v>5</v>
      </c>
      <c r="G25">
        <f t="shared" si="33"/>
        <v>6</v>
      </c>
      <c r="H25">
        <f t="shared" si="33"/>
        <v>7</v>
      </c>
      <c r="I25">
        <f t="shared" si="33"/>
        <v>8</v>
      </c>
      <c r="J25">
        <f t="shared" si="33"/>
        <v>9</v>
      </c>
      <c r="K25">
        <f t="shared" si="33"/>
        <v>10</v>
      </c>
      <c r="L25">
        <f t="shared" si="33"/>
        <v>11</v>
      </c>
      <c r="M25">
        <f t="shared" si="33"/>
        <v>12</v>
      </c>
      <c r="N25">
        <f t="shared" si="33"/>
        <v>13</v>
      </c>
      <c r="O25">
        <f t="shared" si="33"/>
        <v>14</v>
      </c>
      <c r="S25">
        <v>2</v>
      </c>
      <c r="T25">
        <f>S25+1</f>
        <v>3</v>
      </c>
      <c r="U25">
        <f t="shared" ref="U25:AE25" si="34">T25+1</f>
        <v>4</v>
      </c>
      <c r="V25">
        <f t="shared" si="34"/>
        <v>5</v>
      </c>
      <c r="W25">
        <f t="shared" si="34"/>
        <v>6</v>
      </c>
      <c r="X25">
        <f t="shared" si="34"/>
        <v>7</v>
      </c>
      <c r="Y25">
        <f t="shared" si="34"/>
        <v>8</v>
      </c>
      <c r="Z25">
        <f t="shared" si="34"/>
        <v>9</v>
      </c>
      <c r="AA25">
        <f t="shared" si="34"/>
        <v>10</v>
      </c>
      <c r="AB25">
        <f t="shared" si="34"/>
        <v>11</v>
      </c>
      <c r="AC25">
        <f t="shared" si="34"/>
        <v>12</v>
      </c>
      <c r="AD25">
        <f t="shared" si="34"/>
        <v>13</v>
      </c>
      <c r="AE25">
        <f t="shared" si="34"/>
        <v>14</v>
      </c>
      <c r="AW25">
        <f t="shared" si="6"/>
        <v>10</v>
      </c>
      <c r="AX25">
        <f>'النصاب الكامل'!A22</f>
        <v>20</v>
      </c>
      <c r="AY25" t="str">
        <f>'النصاب الكامل'!B22</f>
        <v>حسين سالم</v>
      </c>
      <c r="AZ25" s="12">
        <f t="shared" si="4"/>
        <v>3</v>
      </c>
      <c r="BA25">
        <v>3</v>
      </c>
      <c r="BB25">
        <f t="shared" si="5"/>
        <v>0</v>
      </c>
    </row>
    <row r="26" spans="1:54" x14ac:dyDescent="0.45">
      <c r="D26">
        <v>11</v>
      </c>
      <c r="E26">
        <v>21</v>
      </c>
      <c r="F26">
        <v>12</v>
      </c>
      <c r="G26">
        <v>22</v>
      </c>
      <c r="H26">
        <v>13</v>
      </c>
      <c r="I26">
        <v>23</v>
      </c>
      <c r="J26">
        <v>14</v>
      </c>
      <c r="K26">
        <v>24</v>
      </c>
      <c r="L26">
        <v>15</v>
      </c>
      <c r="M26">
        <v>25</v>
      </c>
      <c r="N26">
        <v>16</v>
      </c>
      <c r="O26">
        <v>26</v>
      </c>
      <c r="T26">
        <v>11</v>
      </c>
      <c r="U26">
        <v>21</v>
      </c>
      <c r="V26">
        <v>12</v>
      </c>
      <c r="W26">
        <v>22</v>
      </c>
      <c r="X26">
        <v>13</v>
      </c>
      <c r="Y26">
        <v>23</v>
      </c>
      <c r="Z26">
        <v>14</v>
      </c>
      <c r="AA26">
        <v>24</v>
      </c>
      <c r="AB26">
        <v>15</v>
      </c>
      <c r="AC26">
        <v>25</v>
      </c>
      <c r="AD26">
        <v>16</v>
      </c>
      <c r="AE26">
        <v>26</v>
      </c>
      <c r="AW26">
        <f t="shared" si="6"/>
        <v>12</v>
      </c>
      <c r="AX26">
        <f>'النصاب الكامل'!A24</f>
        <v>22</v>
      </c>
      <c r="AY26" t="str">
        <f>'النصاب الكامل'!B24</f>
        <v>ابراهيم</v>
      </c>
      <c r="AZ26" s="12">
        <f t="shared" si="4"/>
        <v>2</v>
      </c>
      <c r="BA26">
        <v>2</v>
      </c>
      <c r="BB26">
        <f t="shared" si="5"/>
        <v>0</v>
      </c>
    </row>
    <row r="27" spans="1:54" x14ac:dyDescent="0.45">
      <c r="A27" t="s">
        <v>47</v>
      </c>
      <c r="B27">
        <v>1</v>
      </c>
      <c r="C27" t="str">
        <f>IF($B27="","",INDEX('النصاب الكامل'!$AK$3:$AX$31,MATCH($B27,'النصاب الكامل'!$AK$3:$AK$31,0),C$6))</f>
        <v>علي حسين</v>
      </c>
      <c r="D27" t="str">
        <f>IF($B27="","",IF(INDEX('النصاب الكامل'!$AK$3:$AX$31,MATCH($B27,'النصاب الكامل'!$AK$3:$AK$31,0),D$6)=0,"",INDEX('النصاب الكامل'!$AK$3:$AX$31,MATCH($B27,'النصاب الكامل'!$AK$3:$AK$31,0),D$6)))</f>
        <v/>
      </c>
      <c r="E27" t="str">
        <f>IF($B27="","",IF(INDEX('النصاب الكامل'!$AK$3:$AX$31,MATCH($B27,'النصاب الكامل'!$AK$3:$AK$31,0),E$6)=0,"",INDEX('النصاب الكامل'!$AK$3:$AX$31,MATCH($B27,'النصاب الكامل'!$AK$3:$AK$31,0),E$6)))</f>
        <v/>
      </c>
      <c r="F27" t="str">
        <f>IF($B27="","",IF(INDEX('النصاب الكامل'!$AK$3:$AX$31,MATCH($B27,'النصاب الكامل'!$AK$3:$AK$31,0),F$6)=0,"",INDEX('النصاب الكامل'!$AK$3:$AX$31,MATCH($B27,'النصاب الكامل'!$AK$3:$AK$31,0),F$6)))</f>
        <v/>
      </c>
      <c r="G27" t="str">
        <f>IF($B27="","",IF(INDEX('النصاب الكامل'!$AK$3:$AX$31,MATCH($B27,'النصاب الكامل'!$AK$3:$AK$31,0),G$6)=0,"",INDEX('النصاب الكامل'!$AK$3:$AX$31,MATCH($B27,'النصاب الكامل'!$AK$3:$AK$31,0),G$6)))</f>
        <v/>
      </c>
      <c r="H27">
        <f>IF($B27="","",IF(INDEX('النصاب الكامل'!$AK$3:$AX$31,MATCH($B27,'النصاب الكامل'!$AK$3:$AK$31,0),H$6)=0,"",INDEX('النصاب الكامل'!$AK$3:$AX$31,MATCH($B27,'النصاب الكامل'!$AK$3:$AK$31,0),H$6)))</f>
        <v>6</v>
      </c>
      <c r="I27">
        <f>IF($B27="","",IF(INDEX('النصاب الكامل'!$AK$3:$AX$31,MATCH($B27,'النصاب الكامل'!$AK$3:$AK$31,0),I$6)=0,"",INDEX('النصاب الكامل'!$AK$3:$AX$31,MATCH($B27,'النصاب الكامل'!$AK$3:$AK$31,0),I$6)))</f>
        <v>6</v>
      </c>
      <c r="J27" t="str">
        <f>IF($B27="","",IF(INDEX('النصاب الكامل'!$AK$3:$AX$31,MATCH($B27,'النصاب الكامل'!$AK$3:$AK$31,0),J$6)=0,"",INDEX('النصاب الكامل'!$AK$3:$AX$31,MATCH($B27,'النصاب الكامل'!$AK$3:$AK$31,0),J$6)))</f>
        <v/>
      </c>
      <c r="K27" t="str">
        <f>IF($B27="","",IF(INDEX('النصاب الكامل'!$AK$3:$AX$31,MATCH($B27,'النصاب الكامل'!$AK$3:$AK$31,0),K$6)=0,"",INDEX('النصاب الكامل'!$AK$3:$AX$31,MATCH($B27,'النصاب الكامل'!$AK$3:$AK$31,0),K$6)))</f>
        <v/>
      </c>
      <c r="L27" t="str">
        <f>IF($B27="","",IF(INDEX('النصاب الكامل'!$AK$3:$AX$31,MATCH($B27,'النصاب الكامل'!$AK$3:$AK$31,0),L$6)=0,"",INDEX('النصاب الكامل'!$AK$3:$AX$31,MATCH($B27,'النصاب الكامل'!$AK$3:$AK$31,0),L$6)))</f>
        <v/>
      </c>
      <c r="M27" t="str">
        <f>IF($B27="","",IF(INDEX('النصاب الكامل'!$AK$3:$AX$31,MATCH($B27,'النصاب الكامل'!$AK$3:$AK$31,0),M$6)=0,"",INDEX('النصاب الكامل'!$AK$3:$AX$31,MATCH($B27,'النصاب الكامل'!$AK$3:$AK$31,0),M$6)))</f>
        <v/>
      </c>
      <c r="N27" t="str">
        <f>IF($B27="","",IF(INDEX('النصاب الكامل'!$AK$3:$AX$31,MATCH($B27,'النصاب الكامل'!$AK$3:$AK$31,0),N$6)=0,"",INDEX('النصاب الكامل'!$AK$3:$AX$31,MATCH($B27,'النصاب الكامل'!$AK$3:$AK$31,0),N$6)))</f>
        <v/>
      </c>
      <c r="O27" t="str">
        <f>IF($B27="","",IF(INDEX('النصاب الكامل'!$AK$3:$AX$31,MATCH($B27,'النصاب الكامل'!$AK$3:$AK$31,0),O$6)=0,"",INDEX('النصاب الكامل'!$AK$3:$AX$31,MATCH($B27,'النصاب الكامل'!$AK$3:$AK$31,0),O$6)))</f>
        <v/>
      </c>
      <c r="Q27" t="s">
        <v>47</v>
      </c>
      <c r="R27">
        <v>2</v>
      </c>
      <c r="S27" t="str">
        <f>IF($R27="","",INDEX('النصاب الكامل'!$AK$3:$AX$31,MATCH($R27,'النصاب الكامل'!$AK$3:$AK$31,0),S$6))</f>
        <v>خالد جابر</v>
      </c>
      <c r="T27">
        <f>IF($R27="","",IF(INDEX('النصاب الكامل'!$AK$3:$AX$31,MATCH($R27,'النصاب الكامل'!$AK$3:$AK$31,0),T$6)=0,"",INDEX('النصاب الكامل'!$AK$3:$AX$31,MATCH($R27,'النصاب الكامل'!$AK$3:$AK$31,0),T$6)))</f>
        <v>7</v>
      </c>
      <c r="U27" t="str">
        <f>IF($R27="","",IF(INDEX('النصاب الكامل'!$AK$3:$AX$31,MATCH($R27,'النصاب الكامل'!$AK$3:$AK$31,0),U$6)=0,"",INDEX('النصاب الكامل'!$AK$3:$AX$31,MATCH($R27,'النصاب الكامل'!$AK$3:$AK$31,0),U$6)))</f>
        <v/>
      </c>
      <c r="V27">
        <f>IF($R27="","",IF(INDEX('النصاب الكامل'!$AK$3:$AX$31,MATCH($R27,'النصاب الكامل'!$AK$3:$AK$31,0),V$6)=0,"",INDEX('النصاب الكامل'!$AK$3:$AX$31,MATCH($R27,'النصاب الكامل'!$AK$3:$AK$31,0),V$6)))</f>
        <v>2</v>
      </c>
      <c r="W27">
        <f>IF($R27="","",IF(INDEX('النصاب الكامل'!$AK$3:$AX$31,MATCH($R27,'النصاب الكامل'!$AK$3:$AK$31,0),W$6)=0,"",INDEX('النصاب الكامل'!$AK$3:$AX$31,MATCH($R27,'النصاب الكامل'!$AK$3:$AK$31,0),W$6)))</f>
        <v>2</v>
      </c>
      <c r="X27" t="str">
        <f>IF($R27="","",IF(INDEX('النصاب الكامل'!$AK$3:$AX$31,MATCH($R27,'النصاب الكامل'!$AK$3:$AK$31,0),X$6)=0,"",INDEX('النصاب الكامل'!$AK$3:$AX$31,MATCH($R27,'النصاب الكامل'!$AK$3:$AK$31,0),X$6)))</f>
        <v/>
      </c>
      <c r="Y27" t="str">
        <f>IF($R27="","",IF(INDEX('النصاب الكامل'!$AK$3:$AX$31,MATCH($R27,'النصاب الكامل'!$AK$3:$AK$31,0),Y$6)=0,"",INDEX('النصاب الكامل'!$AK$3:$AX$31,MATCH($R27,'النصاب الكامل'!$AK$3:$AK$31,0),Y$6)))</f>
        <v/>
      </c>
      <c r="Z27" t="str">
        <f>IF($R27="","",IF(INDEX('النصاب الكامل'!$AK$3:$AX$31,MATCH($R27,'النصاب الكامل'!$AK$3:$AK$31,0),Z$6)=0,"",INDEX('النصاب الكامل'!$AK$3:$AX$31,MATCH($R27,'النصاب الكامل'!$AK$3:$AK$31,0),Z$6)))</f>
        <v/>
      </c>
      <c r="AA27" t="str">
        <f>IF($R27="","",IF(INDEX('النصاب الكامل'!$AK$3:$AX$31,MATCH($R27,'النصاب الكامل'!$AK$3:$AK$31,0),AA$6)=0,"",INDEX('النصاب الكامل'!$AK$3:$AX$31,MATCH($R27,'النصاب الكامل'!$AK$3:$AK$31,0),AA$6)))</f>
        <v/>
      </c>
      <c r="AB27" t="str">
        <f>IF($R27="","",IF(INDEX('النصاب الكامل'!$AK$3:$AX$31,MATCH($R27,'النصاب الكامل'!$AK$3:$AK$31,0),AB$6)=0,"",INDEX('النصاب الكامل'!$AK$3:$AX$31,MATCH($R27,'النصاب الكامل'!$AK$3:$AK$31,0),AB$6)))</f>
        <v/>
      </c>
      <c r="AC27" t="str">
        <f>IF($R27="","",IF(INDEX('النصاب الكامل'!$AK$3:$AX$31,MATCH($R27,'النصاب الكامل'!$AK$3:$AK$31,0),AC$6)=0,"",INDEX('النصاب الكامل'!$AK$3:$AX$31,MATCH($R27,'النصاب الكامل'!$AK$3:$AK$31,0),AC$6)))</f>
        <v/>
      </c>
      <c r="AD27" t="str">
        <f>IF($R27="","",IF(INDEX('النصاب الكامل'!$AK$3:$AX$31,MATCH($R27,'النصاب الكامل'!$AK$3:$AK$31,0),AD$6)=0,"",INDEX('النصاب الكامل'!$AK$3:$AX$31,MATCH($R27,'النصاب الكامل'!$AK$3:$AK$31,0),AD$6)))</f>
        <v/>
      </c>
      <c r="AE27" t="str">
        <f>IF($R27="","",IF(INDEX('النصاب الكامل'!$AK$3:$AX$31,MATCH($R27,'النصاب الكامل'!$AK$3:$AK$31,0),AE$6)=0,"",INDEX('النصاب الكامل'!$AK$3:$AX$31,MATCH($R27,'النصاب الكامل'!$AK$3:$AK$31,0),AE$6)))</f>
        <v/>
      </c>
      <c r="AW27">
        <f t="shared" si="6"/>
        <v>16</v>
      </c>
      <c r="AX27">
        <f>'النصاب الكامل'!A25</f>
        <v>23</v>
      </c>
      <c r="AY27" t="str">
        <f>'النصاب الكامل'!B25</f>
        <v>سلمان محيي</v>
      </c>
      <c r="AZ27" s="12">
        <f t="shared" si="4"/>
        <v>2</v>
      </c>
      <c r="BA27">
        <v>2</v>
      </c>
      <c r="BB27">
        <f t="shared" si="5"/>
        <v>0</v>
      </c>
    </row>
    <row r="28" spans="1:54" x14ac:dyDescent="0.45">
      <c r="A28" t="s">
        <v>48</v>
      </c>
      <c r="B28">
        <v>6</v>
      </c>
      <c r="C28" t="str">
        <f>IF($B28="","",INDEX('النصاب الكامل'!$AK$3:$AX$31,MATCH($B28,'النصاب الكامل'!$AK$3:$AK$31,0),C$6))</f>
        <v>علي اليحيوي</v>
      </c>
      <c r="D28">
        <f>IF($B28="","",IF(INDEX('النصاب الكامل'!$AK$3:$AX$31,MATCH($B28,'النصاب الكامل'!$AK$3:$AK$31,0),D$6)=0,"",INDEX('النصاب الكامل'!$AK$3:$AX$31,MATCH($B28,'النصاب الكامل'!$AK$3:$AK$31,0),D$6)))</f>
        <v>5</v>
      </c>
      <c r="E28" t="str">
        <f>IF($B28="","",IF(INDEX('النصاب الكامل'!$AK$3:$AX$31,MATCH($B28,'النصاب الكامل'!$AK$3:$AK$31,0),E$6)=0,"",INDEX('النصاب الكامل'!$AK$3:$AX$31,MATCH($B28,'النصاب الكامل'!$AK$3:$AK$31,0),E$6)))</f>
        <v/>
      </c>
      <c r="F28">
        <f>IF($B28="","",IF(INDEX('النصاب الكامل'!$AK$3:$AX$31,MATCH($B28,'النصاب الكامل'!$AK$3:$AK$31,0),F$6)=0,"",INDEX('النصاب الكامل'!$AK$3:$AX$31,MATCH($B28,'النصاب الكامل'!$AK$3:$AK$31,0),F$6)))</f>
        <v>5</v>
      </c>
      <c r="G28">
        <f>IF($B28="","",IF(INDEX('النصاب الكامل'!$AK$3:$AX$31,MATCH($B28,'النصاب الكامل'!$AK$3:$AK$31,0),G$6)=0,"",INDEX('النصاب الكامل'!$AK$3:$AX$31,MATCH($B28,'النصاب الكامل'!$AK$3:$AK$31,0),G$6)))</f>
        <v>5</v>
      </c>
      <c r="H28" t="str">
        <f>IF($B28="","",IF(INDEX('النصاب الكامل'!$AK$3:$AX$31,MATCH($B28,'النصاب الكامل'!$AK$3:$AK$31,0),H$6)=0,"",INDEX('النصاب الكامل'!$AK$3:$AX$31,MATCH($B28,'النصاب الكامل'!$AK$3:$AK$31,0),H$6)))</f>
        <v/>
      </c>
      <c r="I28" t="str">
        <f>IF($B28="","",IF(INDEX('النصاب الكامل'!$AK$3:$AX$31,MATCH($B28,'النصاب الكامل'!$AK$3:$AK$31,0),I$6)=0,"",INDEX('النصاب الكامل'!$AK$3:$AX$31,MATCH($B28,'النصاب الكامل'!$AK$3:$AK$31,0),I$6)))</f>
        <v/>
      </c>
      <c r="J28" t="str">
        <f>IF($B28="","",IF(INDEX('النصاب الكامل'!$AK$3:$AX$31,MATCH($B28,'النصاب الكامل'!$AK$3:$AK$31,0),J$6)=0,"",INDEX('النصاب الكامل'!$AK$3:$AX$31,MATCH($B28,'النصاب الكامل'!$AK$3:$AK$31,0),J$6)))</f>
        <v/>
      </c>
      <c r="K28" t="str">
        <f>IF($B28="","",IF(INDEX('النصاب الكامل'!$AK$3:$AX$31,MATCH($B28,'النصاب الكامل'!$AK$3:$AK$31,0),K$6)=0,"",INDEX('النصاب الكامل'!$AK$3:$AX$31,MATCH($B28,'النصاب الكامل'!$AK$3:$AK$31,0),K$6)))</f>
        <v/>
      </c>
      <c r="L28" t="str">
        <f>IF($B28="","",IF(INDEX('النصاب الكامل'!$AK$3:$AX$31,MATCH($B28,'النصاب الكامل'!$AK$3:$AK$31,0),L$6)=0,"",INDEX('النصاب الكامل'!$AK$3:$AX$31,MATCH($B28,'النصاب الكامل'!$AK$3:$AK$31,0),L$6)))</f>
        <v/>
      </c>
      <c r="M28" t="str">
        <f>IF($B28="","",IF(INDEX('النصاب الكامل'!$AK$3:$AX$31,MATCH($B28,'النصاب الكامل'!$AK$3:$AK$31,0),M$6)=0,"",INDEX('النصاب الكامل'!$AK$3:$AX$31,MATCH($B28,'النصاب الكامل'!$AK$3:$AK$31,0),M$6)))</f>
        <v/>
      </c>
      <c r="N28" t="str">
        <f>IF($B28="","",IF(INDEX('النصاب الكامل'!$AK$3:$AX$31,MATCH($B28,'النصاب الكامل'!$AK$3:$AK$31,0),N$6)=0,"",INDEX('النصاب الكامل'!$AK$3:$AX$31,MATCH($B28,'النصاب الكامل'!$AK$3:$AK$31,0),N$6)))</f>
        <v/>
      </c>
      <c r="O28" t="str">
        <f>IF($B28="","",IF(INDEX('النصاب الكامل'!$AK$3:$AX$31,MATCH($B28,'النصاب الكامل'!$AK$3:$AK$31,0),O$6)=0,"",INDEX('النصاب الكامل'!$AK$3:$AX$31,MATCH($B28,'النصاب الكامل'!$AK$3:$AK$31,0),O$6)))</f>
        <v/>
      </c>
      <c r="Q28" t="s">
        <v>48</v>
      </c>
      <c r="R28">
        <v>3</v>
      </c>
      <c r="S28" t="str">
        <f>IF($R28="","",INDEX('النصاب الكامل'!$AK$3:$AX$31,MATCH($R28,'النصاب الكامل'!$AK$3:$AK$31,0),S$6))</f>
        <v>فرحان علي</v>
      </c>
      <c r="T28" t="str">
        <f>IF($R28="","",IF(INDEX('النصاب الكامل'!$AK$3:$AX$31,MATCH($R28,'النصاب الكامل'!$AK$3:$AK$31,0),T$6)=0,"",INDEX('النصاب الكامل'!$AK$3:$AX$31,MATCH($R28,'النصاب الكامل'!$AK$3:$AK$31,0),T$6)))</f>
        <v/>
      </c>
      <c r="U28" t="str">
        <f>IF($R28="","",IF(INDEX('النصاب الكامل'!$AK$3:$AX$31,MATCH($R28,'النصاب الكامل'!$AK$3:$AK$31,0),U$6)=0,"",INDEX('النصاب الكامل'!$AK$3:$AX$31,MATCH($R28,'النصاب الكامل'!$AK$3:$AK$31,0),U$6)))</f>
        <v/>
      </c>
      <c r="V28">
        <f>IF($R28="","",IF(INDEX('النصاب الكامل'!$AK$3:$AX$31,MATCH($R28,'النصاب الكامل'!$AK$3:$AK$31,0),V$6)=0,"",INDEX('النصاب الكامل'!$AK$3:$AX$31,MATCH($R28,'النصاب الكامل'!$AK$3:$AK$31,0),V$6)))</f>
        <v>5</v>
      </c>
      <c r="W28">
        <f>IF($R28="","",IF(INDEX('النصاب الكامل'!$AK$3:$AX$31,MATCH($R28,'النصاب الكامل'!$AK$3:$AK$31,0),W$6)=0,"",INDEX('النصاب الكامل'!$AK$3:$AX$31,MATCH($R28,'النصاب الكامل'!$AK$3:$AK$31,0),W$6)))</f>
        <v>5</v>
      </c>
      <c r="X28" t="str">
        <f>IF($R28="","",IF(INDEX('النصاب الكامل'!$AK$3:$AX$31,MATCH($R28,'النصاب الكامل'!$AK$3:$AK$31,0),X$6)=0,"",INDEX('النصاب الكامل'!$AK$3:$AX$31,MATCH($R28,'النصاب الكامل'!$AK$3:$AK$31,0),X$6)))</f>
        <v/>
      </c>
      <c r="Y28" t="str">
        <f>IF($R28="","",IF(INDEX('النصاب الكامل'!$AK$3:$AX$31,MATCH($R28,'النصاب الكامل'!$AK$3:$AK$31,0),Y$6)=0,"",INDEX('النصاب الكامل'!$AK$3:$AX$31,MATCH($R28,'النصاب الكامل'!$AK$3:$AK$31,0),Y$6)))</f>
        <v/>
      </c>
      <c r="Z28" t="str">
        <f>IF($R28="","",IF(INDEX('النصاب الكامل'!$AK$3:$AX$31,MATCH($R28,'النصاب الكامل'!$AK$3:$AK$31,0),Z$6)=0,"",INDEX('النصاب الكامل'!$AK$3:$AX$31,MATCH($R28,'النصاب الكامل'!$AK$3:$AK$31,0),Z$6)))</f>
        <v/>
      </c>
      <c r="AA28" t="str">
        <f>IF($R28="","",IF(INDEX('النصاب الكامل'!$AK$3:$AX$31,MATCH($R28,'النصاب الكامل'!$AK$3:$AK$31,0),AA$6)=0,"",INDEX('النصاب الكامل'!$AK$3:$AX$31,MATCH($R28,'النصاب الكامل'!$AK$3:$AK$31,0),AA$6)))</f>
        <v/>
      </c>
      <c r="AB28" t="str">
        <f>IF($R28="","",IF(INDEX('النصاب الكامل'!$AK$3:$AX$31,MATCH($R28,'النصاب الكامل'!$AK$3:$AK$31,0),AB$6)=0,"",INDEX('النصاب الكامل'!$AK$3:$AX$31,MATCH($R28,'النصاب الكامل'!$AK$3:$AK$31,0),AB$6)))</f>
        <v/>
      </c>
      <c r="AC28" t="str">
        <f>IF($R28="","",IF(INDEX('النصاب الكامل'!$AK$3:$AX$31,MATCH($R28,'النصاب الكامل'!$AK$3:$AK$31,0),AC$6)=0,"",INDEX('النصاب الكامل'!$AK$3:$AX$31,MATCH($R28,'النصاب الكامل'!$AK$3:$AK$31,0),AC$6)))</f>
        <v/>
      </c>
      <c r="AD28">
        <f>IF($R28="","",IF(INDEX('النصاب الكامل'!$AK$3:$AX$31,MATCH($R28,'النصاب الكامل'!$AK$3:$AK$31,0),AD$6)=0,"",INDEX('النصاب الكامل'!$AK$3:$AX$31,MATCH($R28,'النصاب الكامل'!$AK$3:$AK$31,0),AD$6)))</f>
        <v>2</v>
      </c>
      <c r="AE28">
        <f>IF($R28="","",IF(INDEX('النصاب الكامل'!$AK$3:$AX$31,MATCH($R28,'النصاب الكامل'!$AK$3:$AK$31,0),AE$6)=0,"",INDEX('النصاب الكامل'!$AK$3:$AX$31,MATCH($R28,'النصاب الكامل'!$AK$3:$AK$31,0),AE$6)))</f>
        <v>2</v>
      </c>
      <c r="AW28">
        <f t="shared" si="6"/>
        <v>19</v>
      </c>
      <c r="AX28">
        <f>'النصاب الكامل'!A26</f>
        <v>24</v>
      </c>
      <c r="AY28" t="str">
        <f>'النصاب الكامل'!B26</f>
        <v>حسين العمري</v>
      </c>
      <c r="AZ28" s="12">
        <f t="shared" si="4"/>
        <v>2</v>
      </c>
      <c r="BA28">
        <v>2</v>
      </c>
      <c r="BB28">
        <f t="shared" si="5"/>
        <v>0</v>
      </c>
    </row>
    <row r="29" spans="1:54" x14ac:dyDescent="0.45">
      <c r="A29" t="s">
        <v>49</v>
      </c>
      <c r="B29">
        <v>10</v>
      </c>
      <c r="C29" t="str">
        <f>IF($B29="","",INDEX('النصاب الكامل'!$AK$3:$AX$31,MATCH($B29,'النصاب الكامل'!$AK$3:$AK$31,0),C$6))</f>
        <v>سالم حردان</v>
      </c>
      <c r="D29">
        <f>IF($B29="","",IF(INDEX('النصاب الكامل'!$AK$3:$AX$31,MATCH($B29,'النصاب الكامل'!$AK$3:$AK$31,0),D$6)=0,"",INDEX('النصاب الكامل'!$AK$3:$AX$31,MATCH($B29,'النصاب الكامل'!$AK$3:$AK$31,0),D$6)))</f>
        <v>3</v>
      </c>
      <c r="E29" t="str">
        <f>IF($B29="","",IF(INDEX('النصاب الكامل'!$AK$3:$AX$31,MATCH($B29,'النصاب الكامل'!$AK$3:$AK$31,0),E$6)=0,"",INDEX('النصاب الكامل'!$AK$3:$AX$31,MATCH($B29,'النصاب الكامل'!$AK$3:$AK$31,0),E$6)))</f>
        <v/>
      </c>
      <c r="F29">
        <f>IF($B29="","",IF(INDEX('النصاب الكامل'!$AK$3:$AX$31,MATCH($B29,'النصاب الكامل'!$AK$3:$AK$31,0),F$6)=0,"",INDEX('النصاب الكامل'!$AK$3:$AX$31,MATCH($B29,'النصاب الكامل'!$AK$3:$AK$31,0),F$6)))</f>
        <v>3</v>
      </c>
      <c r="G29">
        <f>IF($B29="","",IF(INDEX('النصاب الكامل'!$AK$3:$AX$31,MATCH($B29,'النصاب الكامل'!$AK$3:$AK$31,0),G$6)=0,"",INDEX('النصاب الكامل'!$AK$3:$AX$31,MATCH($B29,'النصاب الكامل'!$AK$3:$AK$31,0),G$6)))</f>
        <v>3</v>
      </c>
      <c r="H29" t="str">
        <f>IF($B29="","",IF(INDEX('النصاب الكامل'!$AK$3:$AX$31,MATCH($B29,'النصاب الكامل'!$AK$3:$AK$31,0),H$6)=0,"",INDEX('النصاب الكامل'!$AK$3:$AX$31,MATCH($B29,'النصاب الكامل'!$AK$3:$AK$31,0),H$6)))</f>
        <v/>
      </c>
      <c r="I29" t="str">
        <f>IF($B29="","",IF(INDEX('النصاب الكامل'!$AK$3:$AX$31,MATCH($B29,'النصاب الكامل'!$AK$3:$AK$31,0),I$6)=0,"",INDEX('النصاب الكامل'!$AK$3:$AX$31,MATCH($B29,'النصاب الكامل'!$AK$3:$AK$31,0),I$6)))</f>
        <v/>
      </c>
      <c r="J29" t="str">
        <f>IF($B29="","",IF(INDEX('النصاب الكامل'!$AK$3:$AX$31,MATCH($B29,'النصاب الكامل'!$AK$3:$AK$31,0),J$6)=0,"",INDEX('النصاب الكامل'!$AK$3:$AX$31,MATCH($B29,'النصاب الكامل'!$AK$3:$AK$31,0),J$6)))</f>
        <v/>
      </c>
      <c r="K29" t="str">
        <f>IF($B29="","",IF(INDEX('النصاب الكامل'!$AK$3:$AX$31,MATCH($B29,'النصاب الكامل'!$AK$3:$AK$31,0),K$6)=0,"",INDEX('النصاب الكامل'!$AK$3:$AX$31,MATCH($B29,'النصاب الكامل'!$AK$3:$AK$31,0),K$6)))</f>
        <v/>
      </c>
      <c r="L29" t="str">
        <f>IF($B29="","",IF(INDEX('النصاب الكامل'!$AK$3:$AX$31,MATCH($B29,'النصاب الكامل'!$AK$3:$AK$31,0),L$6)=0,"",INDEX('النصاب الكامل'!$AK$3:$AX$31,MATCH($B29,'النصاب الكامل'!$AK$3:$AK$31,0),L$6)))</f>
        <v/>
      </c>
      <c r="M29" t="str">
        <f>IF($B29="","",IF(INDEX('النصاب الكامل'!$AK$3:$AX$31,MATCH($B29,'النصاب الكامل'!$AK$3:$AK$31,0),M$6)=0,"",INDEX('النصاب الكامل'!$AK$3:$AX$31,MATCH($B29,'النصاب الكامل'!$AK$3:$AK$31,0),M$6)))</f>
        <v/>
      </c>
      <c r="N29" t="str">
        <f>IF($B29="","",IF(INDEX('النصاب الكامل'!$AK$3:$AX$31,MATCH($B29,'النصاب الكامل'!$AK$3:$AK$31,0),N$6)=0,"",INDEX('النصاب الكامل'!$AK$3:$AX$31,MATCH($B29,'النصاب الكامل'!$AK$3:$AK$31,0),N$6)))</f>
        <v/>
      </c>
      <c r="O29" t="str">
        <f>IF($B29="","",IF(INDEX('النصاب الكامل'!$AK$3:$AX$31,MATCH($B29,'النصاب الكامل'!$AK$3:$AK$31,0),O$6)=0,"",INDEX('النصاب الكامل'!$AK$3:$AX$31,MATCH($B29,'النصاب الكامل'!$AK$3:$AK$31,0),O$6)))</f>
        <v/>
      </c>
      <c r="Q29" t="s">
        <v>49</v>
      </c>
      <c r="R29">
        <v>4</v>
      </c>
      <c r="S29" t="str">
        <f>IF($R29="","",INDEX('النصاب الكامل'!$AK$3:$AX$31,MATCH($R29,'النصاب الكامل'!$AK$3:$AK$31,0),S$6))</f>
        <v>محمد الحجفي</v>
      </c>
      <c r="T29" t="str">
        <f>IF($R29="","",IF(INDEX('النصاب الكامل'!$AK$3:$AX$31,MATCH($R29,'النصاب الكامل'!$AK$3:$AK$31,0),T$6)=0,"",INDEX('النصاب الكامل'!$AK$3:$AX$31,MATCH($R29,'النصاب الكامل'!$AK$3:$AK$31,0),T$6)))</f>
        <v/>
      </c>
      <c r="U29" t="str">
        <f>IF($R29="","",IF(INDEX('النصاب الكامل'!$AK$3:$AX$31,MATCH($R29,'النصاب الكامل'!$AK$3:$AK$31,0),U$6)=0,"",INDEX('النصاب الكامل'!$AK$3:$AX$31,MATCH($R29,'النصاب الكامل'!$AK$3:$AK$31,0),U$6)))</f>
        <v/>
      </c>
      <c r="V29" t="str">
        <f>IF($R29="","",IF(INDEX('النصاب الكامل'!$AK$3:$AX$31,MATCH($R29,'النصاب الكامل'!$AK$3:$AK$31,0),V$6)=0,"",INDEX('النصاب الكامل'!$AK$3:$AX$31,MATCH($R29,'النصاب الكامل'!$AK$3:$AK$31,0),V$6)))</f>
        <v/>
      </c>
      <c r="W29" t="str">
        <f>IF($R29="","",IF(INDEX('النصاب الكامل'!$AK$3:$AX$31,MATCH($R29,'النصاب الكامل'!$AK$3:$AK$31,0),W$6)=0,"",INDEX('النصاب الكامل'!$AK$3:$AX$31,MATCH($R29,'النصاب الكامل'!$AK$3:$AK$31,0),W$6)))</f>
        <v/>
      </c>
      <c r="X29">
        <f>IF($R29="","",IF(INDEX('النصاب الكامل'!$AK$3:$AX$31,MATCH($R29,'النصاب الكامل'!$AK$3:$AK$31,0),X$6)=0,"",INDEX('النصاب الكامل'!$AK$3:$AX$31,MATCH($R29,'النصاب الكامل'!$AK$3:$AK$31,0),X$6)))</f>
        <v>2</v>
      </c>
      <c r="Y29">
        <f>IF($R29="","",IF(INDEX('النصاب الكامل'!$AK$3:$AX$31,MATCH($R29,'النصاب الكامل'!$AK$3:$AK$31,0),Y$6)=0,"",INDEX('النصاب الكامل'!$AK$3:$AX$31,MATCH($R29,'النصاب الكامل'!$AK$3:$AK$31,0),Y$6)))</f>
        <v>2</v>
      </c>
      <c r="Z29">
        <f>IF($R29="","",IF(INDEX('النصاب الكامل'!$AK$3:$AX$31,MATCH($R29,'النصاب الكامل'!$AK$3:$AK$31,0),Z$6)=0,"",INDEX('النصاب الكامل'!$AK$3:$AX$31,MATCH($R29,'النصاب الكامل'!$AK$3:$AK$31,0),Z$6)))</f>
        <v>3</v>
      </c>
      <c r="AA29">
        <f>IF($R29="","",IF(INDEX('النصاب الكامل'!$AK$3:$AX$31,MATCH($R29,'النصاب الكامل'!$AK$3:$AK$31,0),AA$6)=0,"",INDEX('النصاب الكامل'!$AK$3:$AX$31,MATCH($R29,'النصاب الكامل'!$AK$3:$AK$31,0),AA$6)))</f>
        <v>3</v>
      </c>
      <c r="AB29" t="str">
        <f>IF($R29="","",IF(INDEX('النصاب الكامل'!$AK$3:$AX$31,MATCH($R29,'النصاب الكامل'!$AK$3:$AK$31,0),AB$6)=0,"",INDEX('النصاب الكامل'!$AK$3:$AX$31,MATCH($R29,'النصاب الكامل'!$AK$3:$AK$31,0),AB$6)))</f>
        <v/>
      </c>
      <c r="AC29" t="str">
        <f>IF($R29="","",IF(INDEX('النصاب الكامل'!$AK$3:$AX$31,MATCH($R29,'النصاب الكامل'!$AK$3:$AK$31,0),AC$6)=0,"",INDEX('النصاب الكامل'!$AK$3:$AX$31,MATCH($R29,'النصاب الكامل'!$AK$3:$AK$31,0),AC$6)))</f>
        <v/>
      </c>
      <c r="AD29" t="str">
        <f>IF($R29="","",IF(INDEX('النصاب الكامل'!$AK$3:$AX$31,MATCH($R29,'النصاب الكامل'!$AK$3:$AK$31,0),AD$6)=0,"",INDEX('النصاب الكامل'!$AK$3:$AX$31,MATCH($R29,'النصاب الكامل'!$AK$3:$AK$31,0),AD$6)))</f>
        <v/>
      </c>
      <c r="AE29" t="str">
        <f>IF($R29="","",IF(INDEX('النصاب الكامل'!$AK$3:$AX$31,MATCH($R29,'النصاب الكامل'!$AK$3:$AK$31,0),AE$6)=0,"",INDEX('النصاب الكامل'!$AK$3:$AX$31,MATCH($R29,'النصاب الكامل'!$AK$3:$AK$31,0),AE$6)))</f>
        <v/>
      </c>
      <c r="AW29">
        <f t="shared" si="6"/>
        <v>20</v>
      </c>
      <c r="AX29">
        <f>'النصاب الكامل'!A27</f>
        <v>25</v>
      </c>
      <c r="AY29" t="str">
        <f>'النصاب الكامل'!B27</f>
        <v>حسن جبار</v>
      </c>
      <c r="AZ29" s="12">
        <f t="shared" si="4"/>
        <v>3</v>
      </c>
      <c r="BA29">
        <v>2</v>
      </c>
      <c r="BB29">
        <f t="shared" si="5"/>
        <v>-1</v>
      </c>
    </row>
    <row r="30" spans="1:54" x14ac:dyDescent="0.45">
      <c r="A30" t="s">
        <v>50</v>
      </c>
      <c r="B30">
        <v>11</v>
      </c>
      <c r="C30" t="str">
        <f>IF($B30="","",INDEX('النصاب الكامل'!$AK$3:$AX$31,MATCH($B30,'النصاب الكامل'!$AK$3:$AK$31,0),C$6))</f>
        <v>الفيدلي</v>
      </c>
      <c r="D30">
        <f>IF($B30="","",IF(INDEX('النصاب الكامل'!$AK$3:$AX$31,MATCH($B30,'النصاب الكامل'!$AK$3:$AK$31,0),D$6)=0,"",INDEX('النصاب الكامل'!$AK$3:$AX$31,MATCH($B30,'النصاب الكامل'!$AK$3:$AK$31,0),D$6)))</f>
        <v>2</v>
      </c>
      <c r="E30" t="str">
        <f>IF($B30="","",IF(INDEX('النصاب الكامل'!$AK$3:$AX$31,MATCH($B30,'النصاب الكامل'!$AK$3:$AK$31,0),E$6)=0,"",INDEX('النصاب الكامل'!$AK$3:$AX$31,MATCH($B30,'النصاب الكامل'!$AK$3:$AK$31,0),E$6)))</f>
        <v/>
      </c>
      <c r="F30">
        <f>IF($B30="","",IF(INDEX('النصاب الكامل'!$AK$3:$AX$31,MATCH($B30,'النصاب الكامل'!$AK$3:$AK$31,0),F$6)=0,"",INDEX('النصاب الكامل'!$AK$3:$AX$31,MATCH($B30,'النصاب الكامل'!$AK$3:$AK$31,0),F$6)))</f>
        <v>2</v>
      </c>
      <c r="G30">
        <f>IF($B30="","",IF(INDEX('النصاب الكامل'!$AK$3:$AX$31,MATCH($B30,'النصاب الكامل'!$AK$3:$AK$31,0),G$6)=0,"",INDEX('النصاب الكامل'!$AK$3:$AX$31,MATCH($B30,'النصاب الكامل'!$AK$3:$AK$31,0),G$6)))</f>
        <v>2</v>
      </c>
      <c r="H30">
        <f>IF($B30="","",IF(INDEX('النصاب الكامل'!$AK$3:$AX$31,MATCH($B30,'النصاب الكامل'!$AK$3:$AK$31,0),H$6)=0,"",INDEX('النصاب الكامل'!$AK$3:$AX$31,MATCH($B30,'النصاب الكامل'!$AK$3:$AK$31,0),H$6)))</f>
        <v>2</v>
      </c>
      <c r="I30">
        <f>IF($B30="","",IF(INDEX('النصاب الكامل'!$AK$3:$AX$31,MATCH($B30,'النصاب الكامل'!$AK$3:$AK$31,0),I$6)=0,"",INDEX('النصاب الكامل'!$AK$3:$AX$31,MATCH($B30,'النصاب الكامل'!$AK$3:$AK$31,0),I$6)))</f>
        <v>2</v>
      </c>
      <c r="J30" t="str">
        <f>IF($B30="","",IF(INDEX('النصاب الكامل'!$AK$3:$AX$31,MATCH($B30,'النصاب الكامل'!$AK$3:$AK$31,0),J$6)=0,"",INDEX('النصاب الكامل'!$AK$3:$AX$31,MATCH($B30,'النصاب الكامل'!$AK$3:$AK$31,0),J$6)))</f>
        <v/>
      </c>
      <c r="K30" t="str">
        <f>IF($B30="","",IF(INDEX('النصاب الكامل'!$AK$3:$AX$31,MATCH($B30,'النصاب الكامل'!$AK$3:$AK$31,0),K$6)=0,"",INDEX('النصاب الكامل'!$AK$3:$AX$31,MATCH($B30,'النصاب الكامل'!$AK$3:$AK$31,0),K$6)))</f>
        <v/>
      </c>
      <c r="L30" t="str">
        <f>IF($B30="","",IF(INDEX('النصاب الكامل'!$AK$3:$AX$31,MATCH($B30,'النصاب الكامل'!$AK$3:$AK$31,0),L$6)=0,"",INDEX('النصاب الكامل'!$AK$3:$AX$31,MATCH($B30,'النصاب الكامل'!$AK$3:$AK$31,0),L$6)))</f>
        <v/>
      </c>
      <c r="M30" t="str">
        <f>IF($B30="","",IF(INDEX('النصاب الكامل'!$AK$3:$AX$31,MATCH($B30,'النصاب الكامل'!$AK$3:$AK$31,0),M$6)=0,"",INDEX('النصاب الكامل'!$AK$3:$AX$31,MATCH($B30,'النصاب الكامل'!$AK$3:$AK$31,0),M$6)))</f>
        <v/>
      </c>
      <c r="N30" t="str">
        <f>IF($B30="","",IF(INDEX('النصاب الكامل'!$AK$3:$AX$31,MATCH($B30,'النصاب الكامل'!$AK$3:$AK$31,0),N$6)=0,"",INDEX('النصاب الكامل'!$AK$3:$AX$31,MATCH($B30,'النصاب الكامل'!$AK$3:$AK$31,0),N$6)))</f>
        <v/>
      </c>
      <c r="O30" t="str">
        <f>IF($B30="","",IF(INDEX('النصاب الكامل'!$AK$3:$AX$31,MATCH($B30,'النصاب الكامل'!$AK$3:$AK$31,0),O$6)=0,"",INDEX('النصاب الكامل'!$AK$3:$AX$31,MATCH($B30,'النصاب الكامل'!$AK$3:$AK$31,0),O$6)))</f>
        <v/>
      </c>
      <c r="Q30" t="s">
        <v>50</v>
      </c>
      <c r="R30">
        <v>9</v>
      </c>
      <c r="S30" t="str">
        <f>IF($R30="","",INDEX('النصاب الكامل'!$AK$3:$AX$31,MATCH($R30,'النصاب الكامل'!$AK$3:$AK$31,0),S$6))</f>
        <v>احمد يحيى</v>
      </c>
      <c r="T30" t="str">
        <f>IF($R30="","",IF(INDEX('النصاب الكامل'!$AK$3:$AX$31,MATCH($R30,'النصاب الكامل'!$AK$3:$AK$31,0),T$6)=0,"",INDEX('النصاب الكامل'!$AK$3:$AX$31,MATCH($R30,'النصاب الكامل'!$AK$3:$AK$31,0),T$6)))</f>
        <v/>
      </c>
      <c r="U30" t="str">
        <f>IF($R30="","",IF(INDEX('النصاب الكامل'!$AK$3:$AX$31,MATCH($R30,'النصاب الكامل'!$AK$3:$AK$31,0),U$6)=0,"",INDEX('النصاب الكامل'!$AK$3:$AX$31,MATCH($R30,'النصاب الكامل'!$AK$3:$AK$31,0),U$6)))</f>
        <v/>
      </c>
      <c r="V30">
        <f>IF($R30="","",IF(INDEX('النصاب الكامل'!$AK$3:$AX$31,MATCH($R30,'النصاب الكامل'!$AK$3:$AK$31,0),V$6)=0,"",INDEX('النصاب الكامل'!$AK$3:$AX$31,MATCH($R30,'النصاب الكامل'!$AK$3:$AK$31,0),V$6)))</f>
        <v>6</v>
      </c>
      <c r="W30">
        <f>IF($R30="","",IF(INDEX('النصاب الكامل'!$AK$3:$AX$31,MATCH($R30,'النصاب الكامل'!$AK$3:$AK$31,0),W$6)=0,"",INDEX('النصاب الكامل'!$AK$3:$AX$31,MATCH($R30,'النصاب الكامل'!$AK$3:$AK$31,0),W$6)))</f>
        <v>6</v>
      </c>
      <c r="X30" t="str">
        <f>IF($R30="","",IF(INDEX('النصاب الكامل'!$AK$3:$AX$31,MATCH($R30,'النصاب الكامل'!$AK$3:$AK$31,0),X$6)=0,"",INDEX('النصاب الكامل'!$AK$3:$AX$31,MATCH($R30,'النصاب الكامل'!$AK$3:$AK$31,0),X$6)))</f>
        <v/>
      </c>
      <c r="Y30" t="str">
        <f>IF($R30="","",IF(INDEX('النصاب الكامل'!$AK$3:$AX$31,MATCH($R30,'النصاب الكامل'!$AK$3:$AK$31,0),Y$6)=0,"",INDEX('النصاب الكامل'!$AK$3:$AX$31,MATCH($R30,'النصاب الكامل'!$AK$3:$AK$31,0),Y$6)))</f>
        <v/>
      </c>
      <c r="Z30" t="str">
        <f>IF($R30="","",IF(INDEX('النصاب الكامل'!$AK$3:$AX$31,MATCH($R30,'النصاب الكامل'!$AK$3:$AK$31,0),Z$6)=0,"",INDEX('النصاب الكامل'!$AK$3:$AX$31,MATCH($R30,'النصاب الكامل'!$AK$3:$AK$31,0),Z$6)))</f>
        <v/>
      </c>
      <c r="AA30" t="str">
        <f>IF($R30="","",IF(INDEX('النصاب الكامل'!$AK$3:$AX$31,MATCH($R30,'النصاب الكامل'!$AK$3:$AK$31,0),AA$6)=0,"",INDEX('النصاب الكامل'!$AK$3:$AX$31,MATCH($R30,'النصاب الكامل'!$AK$3:$AK$31,0),AA$6)))</f>
        <v/>
      </c>
      <c r="AB30" t="str">
        <f>IF($R30="","",IF(INDEX('النصاب الكامل'!$AK$3:$AX$31,MATCH($R30,'النصاب الكامل'!$AK$3:$AK$31,0),AB$6)=0,"",INDEX('النصاب الكامل'!$AK$3:$AX$31,MATCH($R30,'النصاب الكامل'!$AK$3:$AK$31,0),AB$6)))</f>
        <v/>
      </c>
      <c r="AC30" t="str">
        <f>IF($R30="","",IF(INDEX('النصاب الكامل'!$AK$3:$AX$31,MATCH($R30,'النصاب الكامل'!$AK$3:$AK$31,0),AC$6)=0,"",INDEX('النصاب الكامل'!$AK$3:$AX$31,MATCH($R30,'النصاب الكامل'!$AK$3:$AK$31,0),AC$6)))</f>
        <v/>
      </c>
      <c r="AD30" t="str">
        <f>IF($R30="","",IF(INDEX('النصاب الكامل'!$AK$3:$AX$31,MATCH($R30,'النصاب الكامل'!$AK$3:$AK$31,0),AD$6)=0,"",INDEX('النصاب الكامل'!$AK$3:$AX$31,MATCH($R30,'النصاب الكامل'!$AK$3:$AK$31,0),AD$6)))</f>
        <v/>
      </c>
      <c r="AE30" t="str">
        <f>IF($R30="","",IF(INDEX('النصاب الكامل'!$AK$3:$AX$31,MATCH($R30,'النصاب الكامل'!$AK$3:$AK$31,0),AE$6)=0,"",INDEX('النصاب الكامل'!$AK$3:$AX$31,MATCH($R30,'النصاب الكامل'!$AK$3:$AK$31,0),AE$6)))</f>
        <v/>
      </c>
      <c r="AW30">
        <f t="shared" si="6"/>
        <v>25</v>
      </c>
      <c r="AX30">
        <f>'النصاب الكامل'!A28</f>
        <v>26</v>
      </c>
      <c r="AY30" t="str">
        <f>'النصاب الكامل'!B28</f>
        <v>موسى</v>
      </c>
      <c r="AZ30" s="12">
        <f t="shared" si="4"/>
        <v>3</v>
      </c>
      <c r="BA30">
        <v>3</v>
      </c>
      <c r="BB30">
        <f t="shared" si="5"/>
        <v>0</v>
      </c>
    </row>
    <row r="31" spans="1:54" x14ac:dyDescent="0.45">
      <c r="A31" t="s">
        <v>51</v>
      </c>
      <c r="B31">
        <v>13</v>
      </c>
      <c r="C31" t="str">
        <f>IF($B31="","",INDEX('النصاب الكامل'!$AK$3:$AX$31,MATCH($B31,'النصاب الكامل'!$AK$3:$AK$31,0),C$6))</f>
        <v>جبران علي</v>
      </c>
      <c r="D31" t="str">
        <f>IF($B31="","",IF(INDEX('النصاب الكامل'!$AK$3:$AX$31,MATCH($B31,'النصاب الكامل'!$AK$3:$AK$31,0),D$6)=0,"",INDEX('النصاب الكامل'!$AK$3:$AX$31,MATCH($B31,'النصاب الكامل'!$AK$3:$AK$31,0),D$6)))</f>
        <v/>
      </c>
      <c r="E31" t="str">
        <f>IF($B31="","",IF(INDEX('النصاب الكامل'!$AK$3:$AX$31,MATCH($B31,'النصاب الكامل'!$AK$3:$AK$31,0),E$6)=0,"",INDEX('النصاب الكامل'!$AK$3:$AX$31,MATCH($B31,'النصاب الكامل'!$AK$3:$AK$31,0),E$6)))</f>
        <v/>
      </c>
      <c r="F31" t="str">
        <f>IF($B31="","",IF(INDEX('النصاب الكامل'!$AK$3:$AX$31,MATCH($B31,'النصاب الكامل'!$AK$3:$AK$31,0),F$6)=0,"",INDEX('النصاب الكامل'!$AK$3:$AX$31,MATCH($B31,'النصاب الكامل'!$AK$3:$AK$31,0),F$6)))</f>
        <v/>
      </c>
      <c r="G31" t="str">
        <f>IF($B31="","",IF(INDEX('النصاب الكامل'!$AK$3:$AX$31,MATCH($B31,'النصاب الكامل'!$AK$3:$AK$31,0),G$6)=0,"",INDEX('النصاب الكامل'!$AK$3:$AX$31,MATCH($B31,'النصاب الكامل'!$AK$3:$AK$31,0),G$6)))</f>
        <v/>
      </c>
      <c r="H31">
        <f>IF($B31="","",IF(INDEX('النصاب الكامل'!$AK$3:$AX$31,MATCH($B31,'النصاب الكامل'!$AK$3:$AK$31,0),H$6)=0,"",INDEX('النصاب الكامل'!$AK$3:$AX$31,MATCH($B31,'النصاب الكامل'!$AK$3:$AK$31,0),H$6)))</f>
        <v>6</v>
      </c>
      <c r="I31" t="str">
        <f>IF($B31="","",IF(INDEX('النصاب الكامل'!$AK$3:$AX$31,MATCH($B31,'النصاب الكامل'!$AK$3:$AK$31,0),I$6)=0,"",INDEX('النصاب الكامل'!$AK$3:$AX$31,MATCH($B31,'النصاب الكامل'!$AK$3:$AK$31,0),I$6)))</f>
        <v/>
      </c>
      <c r="J31">
        <f>IF($B31="","",IF(INDEX('النصاب الكامل'!$AK$3:$AX$31,MATCH($B31,'النصاب الكامل'!$AK$3:$AK$31,0),J$6)=0,"",INDEX('النصاب الكامل'!$AK$3:$AX$31,MATCH($B31,'النصاب الكامل'!$AK$3:$AK$31,0),J$6)))</f>
        <v>5</v>
      </c>
      <c r="K31">
        <f>IF($B31="","",IF(INDEX('النصاب الكامل'!$AK$3:$AX$31,MATCH($B31,'النصاب الكامل'!$AK$3:$AK$31,0),K$6)=0,"",INDEX('النصاب الكامل'!$AK$3:$AX$31,MATCH($B31,'النصاب الكامل'!$AK$3:$AK$31,0),K$6)))</f>
        <v>5</v>
      </c>
      <c r="L31" t="str">
        <f>IF($B31="","",IF(INDEX('النصاب الكامل'!$AK$3:$AX$31,MATCH($B31,'النصاب الكامل'!$AK$3:$AK$31,0),L$6)=0,"",INDEX('النصاب الكامل'!$AK$3:$AX$31,MATCH($B31,'النصاب الكامل'!$AK$3:$AK$31,0),L$6)))</f>
        <v/>
      </c>
      <c r="M31" t="str">
        <f>IF($B31="","",IF(INDEX('النصاب الكامل'!$AK$3:$AX$31,MATCH($B31,'النصاب الكامل'!$AK$3:$AK$31,0),M$6)=0,"",INDEX('النصاب الكامل'!$AK$3:$AX$31,MATCH($B31,'النصاب الكامل'!$AK$3:$AK$31,0),M$6)))</f>
        <v/>
      </c>
      <c r="N31" t="str">
        <f>IF($B31="","",IF(INDEX('النصاب الكامل'!$AK$3:$AX$31,MATCH($B31,'النصاب الكامل'!$AK$3:$AK$31,0),N$6)=0,"",INDEX('النصاب الكامل'!$AK$3:$AX$31,MATCH($B31,'النصاب الكامل'!$AK$3:$AK$31,0),N$6)))</f>
        <v/>
      </c>
      <c r="O31" t="str">
        <f>IF($B31="","",IF(INDEX('النصاب الكامل'!$AK$3:$AX$31,MATCH($B31,'النصاب الكامل'!$AK$3:$AK$31,0),O$6)=0,"",INDEX('النصاب الكامل'!$AK$3:$AX$31,MATCH($B31,'النصاب الكامل'!$AK$3:$AK$31,0),O$6)))</f>
        <v/>
      </c>
      <c r="Q31" t="s">
        <v>51</v>
      </c>
      <c r="R31">
        <v>12</v>
      </c>
      <c r="S31" t="str">
        <f>IF($R31="","",INDEX('النصاب الكامل'!$AK$3:$AX$31,MATCH($R31,'النصاب الكامل'!$AK$3:$AK$31,0),S$6))</f>
        <v>يحيى العزي</v>
      </c>
      <c r="T31" t="str">
        <f>IF($R31="","",IF(INDEX('النصاب الكامل'!$AK$3:$AX$31,MATCH($R31,'النصاب الكامل'!$AK$3:$AK$31,0),T$6)=0,"",INDEX('النصاب الكامل'!$AK$3:$AX$31,MATCH($R31,'النصاب الكامل'!$AK$3:$AK$31,0),T$6)))</f>
        <v/>
      </c>
      <c r="U31" t="str">
        <f>IF($R31="","",IF(INDEX('النصاب الكامل'!$AK$3:$AX$31,MATCH($R31,'النصاب الكامل'!$AK$3:$AK$31,0),U$6)=0,"",INDEX('النصاب الكامل'!$AK$3:$AX$31,MATCH($R31,'النصاب الكامل'!$AK$3:$AK$31,0),U$6)))</f>
        <v/>
      </c>
      <c r="V31" t="str">
        <f>IF($R31="","",IF(INDEX('النصاب الكامل'!$AK$3:$AX$31,MATCH($R31,'النصاب الكامل'!$AK$3:$AK$31,0),V$6)=0,"",INDEX('النصاب الكامل'!$AK$3:$AX$31,MATCH($R31,'النصاب الكامل'!$AK$3:$AK$31,0),V$6)))</f>
        <v/>
      </c>
      <c r="W31" t="str">
        <f>IF($R31="","",IF(INDEX('النصاب الكامل'!$AK$3:$AX$31,MATCH($R31,'النصاب الكامل'!$AK$3:$AK$31,0),W$6)=0,"",INDEX('النصاب الكامل'!$AK$3:$AX$31,MATCH($R31,'النصاب الكامل'!$AK$3:$AK$31,0),W$6)))</f>
        <v/>
      </c>
      <c r="X31">
        <f>IF($R31="","",IF(INDEX('النصاب الكامل'!$AK$3:$AX$31,MATCH($R31,'النصاب الكامل'!$AK$3:$AK$31,0),X$6)=0,"",INDEX('النصاب الكامل'!$AK$3:$AX$31,MATCH($R31,'النصاب الكامل'!$AK$3:$AK$31,0),X$6)))</f>
        <v>4</v>
      </c>
      <c r="Y31">
        <f>IF($R31="","",IF(INDEX('النصاب الكامل'!$AK$3:$AX$31,MATCH($R31,'النصاب الكامل'!$AK$3:$AK$31,0),Y$6)=0,"",INDEX('النصاب الكامل'!$AK$3:$AX$31,MATCH($R31,'النصاب الكامل'!$AK$3:$AK$31,0),Y$6)))</f>
        <v>4</v>
      </c>
      <c r="Z31">
        <f>IF($R31="","",IF(INDEX('النصاب الكامل'!$AK$3:$AX$31,MATCH($R31,'النصاب الكامل'!$AK$3:$AK$31,0),Z$6)=0,"",INDEX('النصاب الكامل'!$AK$3:$AX$31,MATCH($R31,'النصاب الكامل'!$AK$3:$AK$31,0),Z$6)))</f>
        <v>5</v>
      </c>
      <c r="AA31">
        <f>IF($R31="","",IF(INDEX('النصاب الكامل'!$AK$3:$AX$31,MATCH($R31,'النصاب الكامل'!$AK$3:$AK$31,0),AA$6)=0,"",INDEX('النصاب الكامل'!$AK$3:$AX$31,MATCH($R31,'النصاب الكامل'!$AK$3:$AK$31,0),AA$6)))</f>
        <v>5</v>
      </c>
      <c r="AB31" t="str">
        <f>IF($R31="","",IF(INDEX('النصاب الكامل'!$AK$3:$AX$31,MATCH($R31,'النصاب الكامل'!$AK$3:$AK$31,0),AB$6)=0,"",INDEX('النصاب الكامل'!$AK$3:$AX$31,MATCH($R31,'النصاب الكامل'!$AK$3:$AK$31,0),AB$6)))</f>
        <v/>
      </c>
      <c r="AC31" t="str">
        <f>IF($R31="","",IF(INDEX('النصاب الكامل'!$AK$3:$AX$31,MATCH($R31,'النصاب الكامل'!$AK$3:$AK$31,0),AC$6)=0,"",INDEX('النصاب الكامل'!$AK$3:$AX$31,MATCH($R31,'النصاب الكامل'!$AK$3:$AK$31,0),AC$6)))</f>
        <v/>
      </c>
      <c r="AD31" t="str">
        <f>IF($R31="","",IF(INDEX('النصاب الكامل'!$AK$3:$AX$31,MATCH($R31,'النصاب الكامل'!$AK$3:$AK$31,0),AD$6)=0,"",INDEX('النصاب الكامل'!$AK$3:$AX$31,MATCH($R31,'النصاب الكامل'!$AK$3:$AK$31,0),AD$6)))</f>
        <v/>
      </c>
      <c r="AE31" t="str">
        <f>IF($R31="","",IF(INDEX('النصاب الكامل'!$AK$3:$AX$31,MATCH($R31,'النصاب الكامل'!$AK$3:$AK$31,0),AE$6)=0,"",INDEX('النصاب الكامل'!$AK$3:$AX$31,MATCH($R31,'النصاب الكامل'!$AK$3:$AK$31,0),AE$6)))</f>
        <v/>
      </c>
      <c r="AW31">
        <f t="shared" si="6"/>
        <v>26</v>
      </c>
      <c r="AX31">
        <f>'النصاب الكامل'!A29</f>
        <v>27</v>
      </c>
      <c r="AY31" t="str">
        <f>'النصاب الكامل'!B29</f>
        <v>مهدي</v>
      </c>
      <c r="AZ31" s="12">
        <f t="shared" si="4"/>
        <v>2</v>
      </c>
      <c r="BA31">
        <v>3</v>
      </c>
      <c r="BB31">
        <f t="shared" si="5"/>
        <v>1</v>
      </c>
    </row>
    <row r="32" spans="1:54" x14ac:dyDescent="0.45">
      <c r="A32" t="s">
        <v>52</v>
      </c>
      <c r="B32">
        <v>18</v>
      </c>
      <c r="C32" t="str">
        <f>IF($B32="","",INDEX('النصاب الكامل'!$AK$3:$AX$31,MATCH($B32,'النصاب الكامل'!$AK$3:$AK$31,0),C$6))</f>
        <v>سالم يحيى</v>
      </c>
      <c r="D32" t="str">
        <f>IF($B32="","",IF(INDEX('النصاب الكامل'!$AK$3:$AX$31,MATCH($B32,'النصاب الكامل'!$AK$3:$AK$31,0),D$6)=0,"",INDEX('النصاب الكامل'!$AK$3:$AX$31,MATCH($B32,'النصاب الكامل'!$AK$3:$AK$31,0),D$6)))</f>
        <v/>
      </c>
      <c r="E32" t="str">
        <f>IF($B32="","",IF(INDEX('النصاب الكامل'!$AK$3:$AX$31,MATCH($B32,'النصاب الكامل'!$AK$3:$AK$31,0),E$6)=0,"",INDEX('النصاب الكامل'!$AK$3:$AX$31,MATCH($B32,'النصاب الكامل'!$AK$3:$AK$31,0),E$6)))</f>
        <v/>
      </c>
      <c r="F32" t="str">
        <f>IF($B32="","",IF(INDEX('النصاب الكامل'!$AK$3:$AX$31,MATCH($B32,'النصاب الكامل'!$AK$3:$AK$31,0),F$6)=0,"",INDEX('النصاب الكامل'!$AK$3:$AX$31,MATCH($B32,'النصاب الكامل'!$AK$3:$AK$31,0),F$6)))</f>
        <v/>
      </c>
      <c r="G32" t="str">
        <f>IF($B32="","",IF(INDEX('النصاب الكامل'!$AK$3:$AX$31,MATCH($B32,'النصاب الكامل'!$AK$3:$AK$31,0),G$6)=0,"",INDEX('النصاب الكامل'!$AK$3:$AX$31,MATCH($B32,'النصاب الكامل'!$AK$3:$AK$31,0),G$6)))</f>
        <v/>
      </c>
      <c r="H32" t="str">
        <f>IF($B32="","",IF(INDEX('النصاب الكامل'!$AK$3:$AX$31,MATCH($B32,'النصاب الكامل'!$AK$3:$AK$31,0),H$6)=0,"",INDEX('النصاب الكامل'!$AK$3:$AX$31,MATCH($B32,'النصاب الكامل'!$AK$3:$AK$31,0),H$6)))</f>
        <v/>
      </c>
      <c r="I32" t="str">
        <f>IF($B32="","",IF(INDEX('النصاب الكامل'!$AK$3:$AX$31,MATCH($B32,'النصاب الكامل'!$AK$3:$AK$31,0),I$6)=0,"",INDEX('النصاب الكامل'!$AK$3:$AX$31,MATCH($B32,'النصاب الكامل'!$AK$3:$AK$31,0),I$6)))</f>
        <v/>
      </c>
      <c r="J32">
        <f>IF($B32="","",IF(INDEX('النصاب الكامل'!$AK$3:$AX$31,MATCH($B32,'النصاب الكامل'!$AK$3:$AK$31,0),J$6)=0,"",INDEX('النصاب الكامل'!$AK$3:$AX$31,MATCH($B32,'النصاب الكامل'!$AK$3:$AK$31,0),J$6)))</f>
        <v>4</v>
      </c>
      <c r="K32">
        <f>IF($B32="","",IF(INDEX('النصاب الكامل'!$AK$3:$AX$31,MATCH($B32,'النصاب الكامل'!$AK$3:$AK$31,0),K$6)=0,"",INDEX('النصاب الكامل'!$AK$3:$AX$31,MATCH($B32,'النصاب الكامل'!$AK$3:$AK$31,0),K$6)))</f>
        <v>4</v>
      </c>
      <c r="L32">
        <f>IF($B32="","",IF(INDEX('النصاب الكامل'!$AK$3:$AX$31,MATCH($B32,'النصاب الكامل'!$AK$3:$AK$31,0),L$6)=0,"",INDEX('النصاب الكامل'!$AK$3:$AX$31,MATCH($B32,'النصاب الكامل'!$AK$3:$AK$31,0),L$6)))</f>
        <v>4</v>
      </c>
      <c r="M32">
        <f>IF($B32="","",IF(INDEX('النصاب الكامل'!$AK$3:$AX$31,MATCH($B32,'النصاب الكامل'!$AK$3:$AK$31,0),M$6)=0,"",INDEX('النصاب الكامل'!$AK$3:$AX$31,MATCH($B32,'النصاب الكامل'!$AK$3:$AK$31,0),M$6)))</f>
        <v>4</v>
      </c>
      <c r="N32" t="str">
        <f>IF($B32="","",IF(INDEX('النصاب الكامل'!$AK$3:$AX$31,MATCH($B32,'النصاب الكامل'!$AK$3:$AK$31,0),N$6)=0,"",INDEX('النصاب الكامل'!$AK$3:$AX$31,MATCH($B32,'النصاب الكامل'!$AK$3:$AK$31,0),N$6)))</f>
        <v/>
      </c>
      <c r="O32" t="str">
        <f>IF($B32="","",IF(INDEX('النصاب الكامل'!$AK$3:$AX$31,MATCH($B32,'النصاب الكامل'!$AK$3:$AK$31,0),O$6)=0,"",INDEX('النصاب الكامل'!$AK$3:$AX$31,MATCH($B32,'النصاب الكامل'!$AK$3:$AK$31,0),O$6)))</f>
        <v/>
      </c>
      <c r="Q32" t="s">
        <v>52</v>
      </c>
      <c r="R32">
        <v>13</v>
      </c>
      <c r="S32" t="str">
        <f>IF($R32="","",INDEX('النصاب الكامل'!$AK$3:$AX$31,MATCH($R32,'النصاب الكامل'!$AK$3:$AK$31,0),S$6))</f>
        <v>جبران علي</v>
      </c>
      <c r="T32" t="str">
        <f>IF($R32="","",IF(INDEX('النصاب الكامل'!$AK$3:$AX$31,MATCH($R32,'النصاب الكامل'!$AK$3:$AK$31,0),T$6)=0,"",INDEX('النصاب الكامل'!$AK$3:$AX$31,MATCH($R32,'النصاب الكامل'!$AK$3:$AK$31,0),T$6)))</f>
        <v/>
      </c>
      <c r="U32" t="str">
        <f>IF($R32="","",IF(INDEX('النصاب الكامل'!$AK$3:$AX$31,MATCH($R32,'النصاب الكامل'!$AK$3:$AK$31,0),U$6)=0,"",INDEX('النصاب الكامل'!$AK$3:$AX$31,MATCH($R32,'النصاب الكامل'!$AK$3:$AK$31,0),U$6)))</f>
        <v/>
      </c>
      <c r="V32" t="str">
        <f>IF($R32="","",IF(INDEX('النصاب الكامل'!$AK$3:$AX$31,MATCH($R32,'النصاب الكامل'!$AK$3:$AK$31,0),V$6)=0,"",INDEX('النصاب الكامل'!$AK$3:$AX$31,MATCH($R32,'النصاب الكامل'!$AK$3:$AK$31,0),V$6)))</f>
        <v/>
      </c>
      <c r="W32" t="str">
        <f>IF($R32="","",IF(INDEX('النصاب الكامل'!$AK$3:$AX$31,MATCH($R32,'النصاب الكامل'!$AK$3:$AK$31,0),W$6)=0,"",INDEX('النصاب الكامل'!$AK$3:$AX$31,MATCH($R32,'النصاب الكامل'!$AK$3:$AK$31,0),W$6)))</f>
        <v/>
      </c>
      <c r="X32">
        <f>IF($R32="","",IF(INDEX('النصاب الكامل'!$AK$3:$AX$31,MATCH($R32,'النصاب الكامل'!$AK$3:$AK$31,0),X$6)=0,"",INDEX('النصاب الكامل'!$AK$3:$AX$31,MATCH($R32,'النصاب الكامل'!$AK$3:$AK$31,0),X$6)))</f>
        <v>6</v>
      </c>
      <c r="Y32" t="str">
        <f>IF($R32="","",IF(INDEX('النصاب الكامل'!$AK$3:$AX$31,MATCH($R32,'النصاب الكامل'!$AK$3:$AK$31,0),Y$6)=0,"",INDEX('النصاب الكامل'!$AK$3:$AX$31,MATCH($R32,'النصاب الكامل'!$AK$3:$AK$31,0),Y$6)))</f>
        <v/>
      </c>
      <c r="Z32">
        <f>IF($R32="","",IF(INDEX('النصاب الكامل'!$AK$3:$AX$31,MATCH($R32,'النصاب الكامل'!$AK$3:$AK$31,0),Z$6)=0,"",INDEX('النصاب الكامل'!$AK$3:$AX$31,MATCH($R32,'النصاب الكامل'!$AK$3:$AK$31,0),Z$6)))</f>
        <v>5</v>
      </c>
      <c r="AA32">
        <f>IF($R32="","",IF(INDEX('النصاب الكامل'!$AK$3:$AX$31,MATCH($R32,'النصاب الكامل'!$AK$3:$AK$31,0),AA$6)=0,"",INDEX('النصاب الكامل'!$AK$3:$AX$31,MATCH($R32,'النصاب الكامل'!$AK$3:$AK$31,0),AA$6)))</f>
        <v>5</v>
      </c>
      <c r="AB32" t="str">
        <f>IF($R32="","",IF(INDEX('النصاب الكامل'!$AK$3:$AX$31,MATCH($R32,'النصاب الكامل'!$AK$3:$AK$31,0),AB$6)=0,"",INDEX('النصاب الكامل'!$AK$3:$AX$31,MATCH($R32,'النصاب الكامل'!$AK$3:$AK$31,0),AB$6)))</f>
        <v/>
      </c>
      <c r="AC32" t="str">
        <f>IF($R32="","",IF(INDEX('النصاب الكامل'!$AK$3:$AX$31,MATCH($R32,'النصاب الكامل'!$AK$3:$AK$31,0),AC$6)=0,"",INDEX('النصاب الكامل'!$AK$3:$AX$31,MATCH($R32,'النصاب الكامل'!$AK$3:$AK$31,0),AC$6)))</f>
        <v/>
      </c>
      <c r="AD32" t="str">
        <f>IF($R32="","",IF(INDEX('النصاب الكامل'!$AK$3:$AX$31,MATCH($R32,'النصاب الكامل'!$AK$3:$AK$31,0),AD$6)=0,"",INDEX('النصاب الكامل'!$AK$3:$AX$31,MATCH($R32,'النصاب الكامل'!$AK$3:$AK$31,0),AD$6)))</f>
        <v/>
      </c>
      <c r="AE32" t="str">
        <f>IF($R32="","",IF(INDEX('النصاب الكامل'!$AK$3:$AX$31,MATCH($R32,'النصاب الكامل'!$AK$3:$AK$31,0),AE$6)=0,"",INDEX('النصاب الكامل'!$AK$3:$AX$31,MATCH($R32,'النصاب الكامل'!$AK$3:$AK$31,0),AE$6)))</f>
        <v/>
      </c>
      <c r="AW32">
        <f t="shared" si="6"/>
        <v>0</v>
      </c>
      <c r="AX32">
        <f>'النصاب الكامل'!A30</f>
        <v>28</v>
      </c>
      <c r="AY32" t="str">
        <f>'النصاب الكامل'!B30</f>
        <v>ناصر</v>
      </c>
      <c r="AZ32" s="12">
        <f t="shared" si="4"/>
        <v>2</v>
      </c>
      <c r="BA32">
        <v>2</v>
      </c>
      <c r="BB32">
        <f t="shared" si="5"/>
        <v>0</v>
      </c>
    </row>
    <row r="33" spans="1:54" x14ac:dyDescent="0.45">
      <c r="A33" t="s">
        <v>53</v>
      </c>
      <c r="B33">
        <v>23</v>
      </c>
      <c r="C33" t="str">
        <f>IF($B33="","",INDEX('النصاب الكامل'!$AK$3:$AX$31,MATCH($B33,'النصاب الكامل'!$AK$3:$AK$31,0),C$6))</f>
        <v>سلمان محيي</v>
      </c>
      <c r="D33" t="str">
        <f>IF($B33="","",IF(INDEX('النصاب الكامل'!$AK$3:$AX$31,MATCH($B33,'النصاب الكامل'!$AK$3:$AK$31,0),D$6)=0,"",INDEX('النصاب الكامل'!$AK$3:$AX$31,MATCH($B33,'النصاب الكامل'!$AK$3:$AK$31,0),D$6)))</f>
        <v/>
      </c>
      <c r="E33" t="str">
        <f>IF($B33="","",IF(INDEX('النصاب الكامل'!$AK$3:$AX$31,MATCH($B33,'النصاب الكامل'!$AK$3:$AK$31,0),E$6)=0,"",INDEX('النصاب الكامل'!$AK$3:$AX$31,MATCH($B33,'النصاب الكامل'!$AK$3:$AK$31,0),E$6)))</f>
        <v/>
      </c>
      <c r="F33" t="str">
        <f>IF($B33="","",IF(INDEX('النصاب الكامل'!$AK$3:$AX$31,MATCH($B33,'النصاب الكامل'!$AK$3:$AK$31,0),F$6)=0,"",INDEX('النصاب الكامل'!$AK$3:$AX$31,MATCH($B33,'النصاب الكامل'!$AK$3:$AK$31,0),F$6)))</f>
        <v/>
      </c>
      <c r="G33" t="str">
        <f>IF($B33="","",IF(INDEX('النصاب الكامل'!$AK$3:$AX$31,MATCH($B33,'النصاب الكامل'!$AK$3:$AK$31,0),G$6)=0,"",INDEX('النصاب الكامل'!$AK$3:$AX$31,MATCH($B33,'النصاب الكامل'!$AK$3:$AK$31,0),G$6)))</f>
        <v/>
      </c>
      <c r="H33" t="str">
        <f>IF($B33="","",IF(INDEX('النصاب الكامل'!$AK$3:$AX$31,MATCH($B33,'النصاب الكامل'!$AK$3:$AK$31,0),H$6)=0,"",INDEX('النصاب الكامل'!$AK$3:$AX$31,MATCH($B33,'النصاب الكامل'!$AK$3:$AK$31,0),H$6)))</f>
        <v/>
      </c>
      <c r="I33" t="str">
        <f>IF($B33="","",IF(INDEX('النصاب الكامل'!$AK$3:$AX$31,MATCH($B33,'النصاب الكامل'!$AK$3:$AK$31,0),I$6)=0,"",INDEX('النصاب الكامل'!$AK$3:$AX$31,MATCH($B33,'النصاب الكامل'!$AK$3:$AK$31,0),I$6)))</f>
        <v/>
      </c>
      <c r="J33">
        <f>IF($B33="","",IF(INDEX('النصاب الكامل'!$AK$3:$AX$31,MATCH($B33,'النصاب الكامل'!$AK$3:$AK$31,0),J$6)=0,"",INDEX('النصاب الكامل'!$AK$3:$AX$31,MATCH($B33,'النصاب الكامل'!$AK$3:$AK$31,0),J$6)))</f>
        <v>3</v>
      </c>
      <c r="K33">
        <f>IF($B33="","",IF(INDEX('النصاب الكامل'!$AK$3:$AX$31,MATCH($B33,'النصاب الكامل'!$AK$3:$AK$31,0),K$6)=0,"",INDEX('النصاب الكامل'!$AK$3:$AX$31,MATCH($B33,'النصاب الكامل'!$AK$3:$AK$31,0),K$6)))</f>
        <v>3</v>
      </c>
      <c r="L33">
        <f>IF($B33="","",IF(INDEX('النصاب الكامل'!$AK$3:$AX$31,MATCH($B33,'النصاب الكامل'!$AK$3:$AK$31,0),L$6)=0,"",INDEX('النصاب الكامل'!$AK$3:$AX$31,MATCH($B33,'النصاب الكامل'!$AK$3:$AK$31,0),L$6)))</f>
        <v>4</v>
      </c>
      <c r="M33">
        <f>IF($B33="","",IF(INDEX('النصاب الكامل'!$AK$3:$AX$31,MATCH($B33,'النصاب الكامل'!$AK$3:$AK$31,0),M$6)=0,"",INDEX('النصاب الكامل'!$AK$3:$AX$31,MATCH($B33,'النصاب الكامل'!$AK$3:$AK$31,0),M$6)))</f>
        <v>4</v>
      </c>
      <c r="N33" t="str">
        <f>IF($B33="","",IF(INDEX('النصاب الكامل'!$AK$3:$AX$31,MATCH($B33,'النصاب الكامل'!$AK$3:$AK$31,0),N$6)=0,"",INDEX('النصاب الكامل'!$AK$3:$AX$31,MATCH($B33,'النصاب الكامل'!$AK$3:$AK$31,0),N$6)))</f>
        <v/>
      </c>
      <c r="O33" t="str">
        <f>IF($B33="","",IF(INDEX('النصاب الكامل'!$AK$3:$AX$31,MATCH($B33,'النصاب الكامل'!$AK$3:$AK$31,0),O$6)=0,"",INDEX('النصاب الكامل'!$AK$3:$AX$31,MATCH($B33,'النصاب الكامل'!$AK$3:$AK$31,0),O$6)))</f>
        <v/>
      </c>
      <c r="Q33" t="s">
        <v>53</v>
      </c>
      <c r="R33">
        <v>21</v>
      </c>
      <c r="S33" t="str">
        <f>IF($R33="","",INDEX('النصاب الكامل'!$AK$3:$AX$31,MATCH($R33,'النصاب الكامل'!$AK$3:$AK$31,0),S$6))</f>
        <v>حسين الفيفيي</v>
      </c>
      <c r="T33" t="str">
        <f>IF($R33="","",IF(INDEX('النصاب الكامل'!$AK$3:$AX$31,MATCH($R33,'النصاب الكامل'!$AK$3:$AK$31,0),T$6)=0,"",INDEX('النصاب الكامل'!$AK$3:$AX$31,MATCH($R33,'النصاب الكامل'!$AK$3:$AK$31,0),T$6)))</f>
        <v/>
      </c>
      <c r="U33" t="str">
        <f>IF($R33="","",IF(INDEX('النصاب الكامل'!$AK$3:$AX$31,MATCH($R33,'النصاب الكامل'!$AK$3:$AK$31,0),U$6)=0,"",INDEX('النصاب الكامل'!$AK$3:$AX$31,MATCH($R33,'النصاب الكامل'!$AK$3:$AK$31,0),U$6)))</f>
        <v/>
      </c>
      <c r="V33">
        <f>IF($R33="","",IF(INDEX('النصاب الكامل'!$AK$3:$AX$31,MATCH($R33,'النصاب الكامل'!$AK$3:$AK$31,0),V$6)=0,"",INDEX('النصاب الكامل'!$AK$3:$AX$31,MATCH($R33,'النصاب الكامل'!$AK$3:$AK$31,0),V$6)))</f>
        <v>4</v>
      </c>
      <c r="W33">
        <f>IF($R33="","",IF(INDEX('النصاب الكامل'!$AK$3:$AX$31,MATCH($R33,'النصاب الكامل'!$AK$3:$AK$31,0),W$6)=0,"",INDEX('النصاب الكامل'!$AK$3:$AX$31,MATCH($R33,'النصاب الكامل'!$AK$3:$AK$31,0),W$6)))</f>
        <v>4</v>
      </c>
      <c r="X33" t="str">
        <f>IF($R33="","",IF(INDEX('النصاب الكامل'!$AK$3:$AX$31,MATCH($R33,'النصاب الكامل'!$AK$3:$AK$31,0),X$6)=0,"",INDEX('النصاب الكامل'!$AK$3:$AX$31,MATCH($R33,'النصاب الكامل'!$AK$3:$AK$31,0),X$6)))</f>
        <v/>
      </c>
      <c r="Y33" t="str">
        <f>IF($R33="","",IF(INDEX('النصاب الكامل'!$AK$3:$AX$31,MATCH($R33,'النصاب الكامل'!$AK$3:$AK$31,0),Y$6)=0,"",INDEX('النصاب الكامل'!$AK$3:$AX$31,MATCH($R33,'النصاب الكامل'!$AK$3:$AK$31,0),Y$6)))</f>
        <v/>
      </c>
      <c r="Z33" t="str">
        <f>IF($R33="","",IF(INDEX('النصاب الكامل'!$AK$3:$AX$31,MATCH($R33,'النصاب الكامل'!$AK$3:$AK$31,0),Z$6)=0,"",INDEX('النصاب الكامل'!$AK$3:$AX$31,MATCH($R33,'النصاب الكامل'!$AK$3:$AK$31,0),Z$6)))</f>
        <v/>
      </c>
      <c r="AA33" t="str">
        <f>IF($R33="","",IF(INDEX('النصاب الكامل'!$AK$3:$AX$31,MATCH($R33,'النصاب الكامل'!$AK$3:$AK$31,0),AA$6)=0,"",INDEX('النصاب الكامل'!$AK$3:$AX$31,MATCH($R33,'النصاب الكامل'!$AK$3:$AK$31,0),AA$6)))</f>
        <v/>
      </c>
      <c r="AB33" t="str">
        <f>IF($R33="","",IF(INDEX('النصاب الكامل'!$AK$3:$AX$31,MATCH($R33,'النصاب الكامل'!$AK$3:$AK$31,0),AB$6)=0,"",INDEX('النصاب الكامل'!$AK$3:$AX$31,MATCH($R33,'النصاب الكامل'!$AK$3:$AK$31,0),AB$6)))</f>
        <v/>
      </c>
      <c r="AC33" t="str">
        <f>IF($R33="","",IF(INDEX('النصاب الكامل'!$AK$3:$AX$31,MATCH($R33,'النصاب الكامل'!$AK$3:$AK$31,0),AC$6)=0,"",INDEX('النصاب الكامل'!$AK$3:$AX$31,MATCH($R33,'النصاب الكامل'!$AK$3:$AK$31,0),AC$6)))</f>
        <v/>
      </c>
      <c r="AD33">
        <f>IF($R33="","",IF(INDEX('النصاب الكامل'!$AK$3:$AX$31,MATCH($R33,'النصاب الكامل'!$AK$3:$AK$31,0),AD$6)=0,"",INDEX('النصاب الكامل'!$AK$3:$AX$31,MATCH($R33,'النصاب الكامل'!$AK$3:$AK$31,0),AD$6)))</f>
        <v>3</v>
      </c>
      <c r="AE33">
        <f>IF($R33="","",IF(INDEX('النصاب الكامل'!$AK$3:$AX$31,MATCH($R33,'النصاب الكامل'!$AK$3:$AK$31,0),AE$6)=0,"",INDEX('النصاب الكامل'!$AK$3:$AX$31,MATCH($R33,'النصاب الكامل'!$AK$3:$AK$31,0),AE$6)))</f>
        <v>3</v>
      </c>
      <c r="AW33">
        <f t="shared" si="6"/>
        <v>0</v>
      </c>
      <c r="AX33">
        <f>'النصاب الكامل'!A31</f>
        <v>29</v>
      </c>
      <c r="AY33" t="str">
        <f>'النصاب الكامل'!B31</f>
        <v>خالد الخالدي</v>
      </c>
      <c r="AZ33" s="12">
        <f t="shared" si="4"/>
        <v>0</v>
      </c>
      <c r="BA33">
        <v>2</v>
      </c>
      <c r="BB33">
        <f t="shared" si="5"/>
        <v>2</v>
      </c>
    </row>
    <row r="34" spans="1:54" x14ac:dyDescent="0.45">
      <c r="A34" t="s">
        <v>54</v>
      </c>
      <c r="B34">
        <v>24</v>
      </c>
      <c r="C34" t="str">
        <f>IF($B34="","",INDEX('النصاب الكامل'!$AK$3:$AX$31,MATCH($B34,'النصاب الكامل'!$AK$3:$AK$31,0),C$6))</f>
        <v>حسين العمري</v>
      </c>
      <c r="D34">
        <f>IF($B34="","",IF(INDEX('النصاب الكامل'!$AK$3:$AX$31,MATCH($B34,'النصاب الكامل'!$AK$3:$AK$31,0),D$6)=0,"",INDEX('النصاب الكامل'!$AK$3:$AX$31,MATCH($B34,'النصاب الكامل'!$AK$3:$AK$31,0),D$6)))</f>
        <v>4</v>
      </c>
      <c r="E34" t="str">
        <f>IF($B34="","",IF(INDEX('النصاب الكامل'!$AK$3:$AX$31,MATCH($B34,'النصاب الكامل'!$AK$3:$AK$31,0),E$6)=0,"",INDEX('النصاب الكامل'!$AK$3:$AX$31,MATCH($B34,'النصاب الكامل'!$AK$3:$AK$31,0),E$6)))</f>
        <v/>
      </c>
      <c r="F34" t="str">
        <f>IF($B34="","",IF(INDEX('النصاب الكامل'!$AK$3:$AX$31,MATCH($B34,'النصاب الكامل'!$AK$3:$AK$31,0),F$6)=0,"",INDEX('النصاب الكامل'!$AK$3:$AX$31,MATCH($B34,'النصاب الكامل'!$AK$3:$AK$31,0),F$6)))</f>
        <v/>
      </c>
      <c r="G34" t="str">
        <f>IF($B34="","",IF(INDEX('النصاب الكامل'!$AK$3:$AX$31,MATCH($B34,'النصاب الكامل'!$AK$3:$AK$31,0),G$6)=0,"",INDEX('النصاب الكامل'!$AK$3:$AX$31,MATCH($B34,'النصاب الكامل'!$AK$3:$AK$31,0),G$6)))</f>
        <v/>
      </c>
      <c r="H34" t="str">
        <f>IF($B34="","",IF(INDEX('النصاب الكامل'!$AK$3:$AX$31,MATCH($B34,'النصاب الكامل'!$AK$3:$AK$31,0),H$6)=0,"",INDEX('النصاب الكامل'!$AK$3:$AX$31,MATCH($B34,'النصاب الكامل'!$AK$3:$AK$31,0),H$6)))</f>
        <v/>
      </c>
      <c r="I34" t="str">
        <f>IF($B34="","",IF(INDEX('النصاب الكامل'!$AK$3:$AX$31,MATCH($B34,'النصاب الكامل'!$AK$3:$AK$31,0),I$6)=0,"",INDEX('النصاب الكامل'!$AK$3:$AX$31,MATCH($B34,'النصاب الكامل'!$AK$3:$AK$31,0),I$6)))</f>
        <v/>
      </c>
      <c r="J34" t="str">
        <f>IF($B34="","",IF(INDEX('النصاب الكامل'!$AK$3:$AX$31,MATCH($B34,'النصاب الكامل'!$AK$3:$AK$31,0),J$6)=0,"",INDEX('النصاب الكامل'!$AK$3:$AX$31,MATCH($B34,'النصاب الكامل'!$AK$3:$AK$31,0),J$6)))</f>
        <v/>
      </c>
      <c r="K34" t="str">
        <f>IF($B34="","",IF(INDEX('النصاب الكامل'!$AK$3:$AX$31,MATCH($B34,'النصاب الكامل'!$AK$3:$AK$31,0),K$6)=0,"",INDEX('النصاب الكامل'!$AK$3:$AX$31,MATCH($B34,'النصاب الكامل'!$AK$3:$AK$31,0),K$6)))</f>
        <v/>
      </c>
      <c r="L34" t="str">
        <f>IF($B34="","",IF(INDEX('النصاب الكامل'!$AK$3:$AX$31,MATCH($B34,'النصاب الكامل'!$AK$3:$AK$31,0),L$6)=0,"",INDEX('النصاب الكامل'!$AK$3:$AX$31,MATCH($B34,'النصاب الكامل'!$AK$3:$AK$31,0),L$6)))</f>
        <v/>
      </c>
      <c r="M34" t="str">
        <f>IF($B34="","",IF(INDEX('النصاب الكامل'!$AK$3:$AX$31,MATCH($B34,'النصاب الكامل'!$AK$3:$AK$31,0),M$6)=0,"",INDEX('النصاب الكامل'!$AK$3:$AX$31,MATCH($B34,'النصاب الكامل'!$AK$3:$AK$31,0),M$6)))</f>
        <v/>
      </c>
      <c r="N34">
        <f>IF($B34="","",IF(INDEX('النصاب الكامل'!$AK$3:$AX$31,MATCH($B34,'النصاب الكامل'!$AK$3:$AK$31,0),N$6)=0,"",INDEX('النصاب الكامل'!$AK$3:$AX$31,MATCH($B34,'النصاب الكامل'!$AK$3:$AK$31,0),N$6)))</f>
        <v>5</v>
      </c>
      <c r="O34">
        <f>IF($B34="","",IF(INDEX('النصاب الكامل'!$AK$3:$AX$31,MATCH($B34,'النصاب الكامل'!$AK$3:$AK$31,0),O$6)=0,"",INDEX('النصاب الكامل'!$AK$3:$AX$31,MATCH($B34,'النصاب الكامل'!$AK$3:$AK$31,0),O$6)))</f>
        <v>5</v>
      </c>
      <c r="Q34" t="s">
        <v>54</v>
      </c>
      <c r="R34">
        <v>22</v>
      </c>
      <c r="S34" t="str">
        <f>IF($R34="","",INDEX('النصاب الكامل'!$AK$3:$AX$31,MATCH($R34,'النصاب الكامل'!$AK$3:$AK$31,0),S$6))</f>
        <v>ابراهيم</v>
      </c>
      <c r="T34">
        <f>IF($R34="","",IF(INDEX('النصاب الكامل'!$AK$3:$AX$31,MATCH($R34,'النصاب الكامل'!$AK$3:$AK$31,0),T$6)=0,"",INDEX('النصاب الكامل'!$AK$3:$AX$31,MATCH($R34,'النصاب الكامل'!$AK$3:$AK$31,0),T$6)))</f>
        <v>6</v>
      </c>
      <c r="U34" t="str">
        <f>IF($R34="","",IF(INDEX('النصاب الكامل'!$AK$3:$AX$31,MATCH($R34,'النصاب الكامل'!$AK$3:$AK$31,0),U$6)=0,"",INDEX('النصاب الكامل'!$AK$3:$AX$31,MATCH($R34,'النصاب الكامل'!$AK$3:$AK$31,0),U$6)))</f>
        <v/>
      </c>
      <c r="V34" t="str">
        <f>IF($R34="","",IF(INDEX('النصاب الكامل'!$AK$3:$AX$31,MATCH($R34,'النصاب الكامل'!$AK$3:$AK$31,0),V$6)=0,"",INDEX('النصاب الكامل'!$AK$3:$AX$31,MATCH($R34,'النصاب الكامل'!$AK$3:$AK$31,0),V$6)))</f>
        <v/>
      </c>
      <c r="W34" t="str">
        <f>IF($R34="","",IF(INDEX('النصاب الكامل'!$AK$3:$AX$31,MATCH($R34,'النصاب الكامل'!$AK$3:$AK$31,0),W$6)=0,"",INDEX('النصاب الكامل'!$AK$3:$AX$31,MATCH($R34,'النصاب الكامل'!$AK$3:$AK$31,0),W$6)))</f>
        <v/>
      </c>
      <c r="X34" t="str">
        <f>IF($R34="","",IF(INDEX('النصاب الكامل'!$AK$3:$AX$31,MATCH($R34,'النصاب الكامل'!$AK$3:$AK$31,0),X$6)=0,"",INDEX('النصاب الكامل'!$AK$3:$AX$31,MATCH($R34,'النصاب الكامل'!$AK$3:$AK$31,0),X$6)))</f>
        <v/>
      </c>
      <c r="Y34" t="str">
        <f>IF($R34="","",IF(INDEX('النصاب الكامل'!$AK$3:$AX$31,MATCH($R34,'النصاب الكامل'!$AK$3:$AK$31,0),Y$6)=0,"",INDEX('النصاب الكامل'!$AK$3:$AX$31,MATCH($R34,'النصاب الكامل'!$AK$3:$AK$31,0),Y$6)))</f>
        <v/>
      </c>
      <c r="Z34" t="str">
        <f>IF($R34="","",IF(INDEX('النصاب الكامل'!$AK$3:$AX$31,MATCH($R34,'النصاب الكامل'!$AK$3:$AK$31,0),Z$6)=0,"",INDEX('النصاب الكامل'!$AK$3:$AX$31,MATCH($R34,'النصاب الكامل'!$AK$3:$AK$31,0),Z$6)))</f>
        <v/>
      </c>
      <c r="AA34" t="str">
        <f>IF($R34="","",IF(INDEX('النصاب الكامل'!$AK$3:$AX$31,MATCH($R34,'النصاب الكامل'!$AK$3:$AK$31,0),AA$6)=0,"",INDEX('النصاب الكامل'!$AK$3:$AX$31,MATCH($R34,'النصاب الكامل'!$AK$3:$AK$31,0),AA$6)))</f>
        <v/>
      </c>
      <c r="AB34" t="str">
        <f>IF($R34="","",IF(INDEX('النصاب الكامل'!$AK$3:$AX$31,MATCH($R34,'النصاب الكامل'!$AK$3:$AK$31,0),AB$6)=0,"",INDEX('النصاب الكامل'!$AK$3:$AX$31,MATCH($R34,'النصاب الكامل'!$AK$3:$AK$31,0),AB$6)))</f>
        <v/>
      </c>
      <c r="AC34" t="str">
        <f>IF($R34="","",IF(INDEX('النصاب الكامل'!$AK$3:$AX$31,MATCH($R34,'النصاب الكامل'!$AK$3:$AK$31,0),AC$6)=0,"",INDEX('النصاب الكامل'!$AK$3:$AX$31,MATCH($R34,'النصاب الكامل'!$AK$3:$AK$31,0),AC$6)))</f>
        <v/>
      </c>
      <c r="AD34">
        <f>IF($R34="","",IF(INDEX('النصاب الكامل'!$AK$3:$AX$31,MATCH($R34,'النصاب الكامل'!$AK$3:$AK$31,0),AD$6)=0,"",INDEX('النصاب الكامل'!$AK$3:$AX$31,MATCH($R34,'النصاب الكامل'!$AK$3:$AK$31,0),AD$6)))</f>
        <v>4</v>
      </c>
      <c r="AE34">
        <f>IF($R34="","",IF(INDEX('النصاب الكامل'!$AK$3:$AX$31,MATCH($R34,'النصاب الكامل'!$AK$3:$AK$31,0),AE$6)=0,"",INDEX('النصاب الكامل'!$AK$3:$AX$31,MATCH($R34,'النصاب الكامل'!$AK$3:$AK$31,0),AE$6)))</f>
        <v>4</v>
      </c>
      <c r="AW34">
        <f>AH8</f>
        <v>1</v>
      </c>
    </row>
    <row r="35" spans="1:54" x14ac:dyDescent="0.45">
      <c r="A35" t="s">
        <v>55</v>
      </c>
      <c r="B35">
        <v>25</v>
      </c>
      <c r="C35" t="str">
        <f>IF($B35="","",INDEX('النصاب الكامل'!$AK$3:$AX$31,MATCH($B35,'النصاب الكامل'!$AK$3:$AK$31,0),C$6))</f>
        <v>حسن جبار</v>
      </c>
      <c r="D35" t="str">
        <f>IF($B35="","",IF(INDEX('النصاب الكامل'!$AK$3:$AX$31,MATCH($B35,'النصاب الكامل'!$AK$3:$AK$31,0),D$6)=0,"",INDEX('النصاب الكامل'!$AK$3:$AX$31,MATCH($B35,'النصاب الكامل'!$AK$3:$AK$31,0),D$6)))</f>
        <v/>
      </c>
      <c r="E35" t="str">
        <f>IF($B35="","",IF(INDEX('النصاب الكامل'!$AK$3:$AX$31,MATCH($B35,'النصاب الكامل'!$AK$3:$AK$31,0),E$6)=0,"",INDEX('النصاب الكامل'!$AK$3:$AX$31,MATCH($B35,'النصاب الكامل'!$AK$3:$AK$31,0),E$6)))</f>
        <v/>
      </c>
      <c r="F35">
        <f>IF($B35="","",IF(INDEX('النصاب الكامل'!$AK$3:$AX$31,MATCH($B35,'النصاب الكامل'!$AK$3:$AK$31,0),F$6)=0,"",INDEX('النصاب الكامل'!$AK$3:$AX$31,MATCH($B35,'النصاب الكامل'!$AK$3:$AK$31,0),F$6)))</f>
        <v>4</v>
      </c>
      <c r="G35">
        <f>IF($B35="","",IF(INDEX('النصاب الكامل'!$AK$3:$AX$31,MATCH($B35,'النصاب الكامل'!$AK$3:$AK$31,0),G$6)=0,"",INDEX('النصاب الكامل'!$AK$3:$AX$31,MATCH($B35,'النصاب الكامل'!$AK$3:$AK$31,0),G$6)))</f>
        <v>4</v>
      </c>
      <c r="H35" t="str">
        <f>IF($B35="","",IF(INDEX('النصاب الكامل'!$AK$3:$AX$31,MATCH($B35,'النصاب الكامل'!$AK$3:$AK$31,0),H$6)=0,"",INDEX('النصاب الكامل'!$AK$3:$AX$31,MATCH($B35,'النصاب الكامل'!$AK$3:$AK$31,0),H$6)))</f>
        <v/>
      </c>
      <c r="I35" t="str">
        <f>IF($B35="","",IF(INDEX('النصاب الكامل'!$AK$3:$AX$31,MATCH($B35,'النصاب الكامل'!$AK$3:$AK$31,0),I$6)=0,"",INDEX('النصاب الكامل'!$AK$3:$AX$31,MATCH($B35,'النصاب الكامل'!$AK$3:$AK$31,0),I$6)))</f>
        <v/>
      </c>
      <c r="J35" t="str">
        <f>IF($B35="","",IF(INDEX('النصاب الكامل'!$AK$3:$AX$31,MATCH($B35,'النصاب الكامل'!$AK$3:$AK$31,0),J$6)=0,"",INDEX('النصاب الكامل'!$AK$3:$AX$31,MATCH($B35,'النصاب الكامل'!$AK$3:$AK$31,0),J$6)))</f>
        <v/>
      </c>
      <c r="K35" t="str">
        <f>IF($B35="","",IF(INDEX('النصاب الكامل'!$AK$3:$AX$31,MATCH($B35,'النصاب الكامل'!$AK$3:$AK$31,0),K$6)=0,"",INDEX('النصاب الكامل'!$AK$3:$AX$31,MATCH($B35,'النصاب الكامل'!$AK$3:$AK$31,0),K$6)))</f>
        <v/>
      </c>
      <c r="L35">
        <f>IF($B35="","",IF(INDEX('النصاب الكامل'!$AK$3:$AX$31,MATCH($B35,'النصاب الكامل'!$AK$3:$AK$31,0),L$6)=0,"",INDEX('النصاب الكامل'!$AK$3:$AX$31,MATCH($B35,'النصاب الكامل'!$AK$3:$AK$31,0),L$6)))</f>
        <v>5</v>
      </c>
      <c r="M35">
        <f>IF($B35="","",IF(INDEX('النصاب الكامل'!$AK$3:$AX$31,MATCH($B35,'النصاب الكامل'!$AK$3:$AK$31,0),M$6)=0,"",INDEX('النصاب الكامل'!$AK$3:$AX$31,MATCH($B35,'النصاب الكامل'!$AK$3:$AK$31,0),M$6)))</f>
        <v>5</v>
      </c>
      <c r="N35" t="str">
        <f>IF($B35="","",IF(INDEX('النصاب الكامل'!$AK$3:$AX$31,MATCH($B35,'النصاب الكامل'!$AK$3:$AK$31,0),N$6)=0,"",INDEX('النصاب الكامل'!$AK$3:$AX$31,MATCH($B35,'النصاب الكامل'!$AK$3:$AK$31,0),N$6)))</f>
        <v/>
      </c>
      <c r="O35" t="str">
        <f>IF($B35="","",IF(INDEX('النصاب الكامل'!$AK$3:$AX$31,MATCH($B35,'النصاب الكامل'!$AK$3:$AK$31,0),O$6)=0,"",INDEX('النصاب الكامل'!$AK$3:$AX$31,MATCH($B35,'النصاب الكامل'!$AK$3:$AK$31,0),O$6)))</f>
        <v/>
      </c>
      <c r="Q35" t="s">
        <v>55</v>
      </c>
      <c r="R35">
        <v>23</v>
      </c>
      <c r="S35" t="str">
        <f>IF($R35="","",INDEX('النصاب الكامل'!$AK$3:$AX$31,MATCH($R35,'النصاب الكامل'!$AK$3:$AK$31,0),S$6))</f>
        <v>سلمان محيي</v>
      </c>
      <c r="T35" t="str">
        <f>IF($R35="","",IF(INDEX('النصاب الكامل'!$AK$3:$AX$31,MATCH($R35,'النصاب الكامل'!$AK$3:$AK$31,0),T$6)=0,"",INDEX('النصاب الكامل'!$AK$3:$AX$31,MATCH($R35,'النصاب الكامل'!$AK$3:$AK$31,0),T$6)))</f>
        <v/>
      </c>
      <c r="U35" t="str">
        <f>IF($R35="","",IF(INDEX('النصاب الكامل'!$AK$3:$AX$31,MATCH($R35,'النصاب الكامل'!$AK$3:$AK$31,0),U$6)=0,"",INDEX('النصاب الكامل'!$AK$3:$AX$31,MATCH($R35,'النصاب الكامل'!$AK$3:$AK$31,0),U$6)))</f>
        <v/>
      </c>
      <c r="V35" t="str">
        <f>IF($R35="","",IF(INDEX('النصاب الكامل'!$AK$3:$AX$31,MATCH($R35,'النصاب الكامل'!$AK$3:$AK$31,0),V$6)=0,"",INDEX('النصاب الكامل'!$AK$3:$AX$31,MATCH($R35,'النصاب الكامل'!$AK$3:$AK$31,0),V$6)))</f>
        <v/>
      </c>
      <c r="W35" t="str">
        <f>IF($R35="","",IF(INDEX('النصاب الكامل'!$AK$3:$AX$31,MATCH($R35,'النصاب الكامل'!$AK$3:$AK$31,0),W$6)=0,"",INDEX('النصاب الكامل'!$AK$3:$AX$31,MATCH($R35,'النصاب الكامل'!$AK$3:$AK$31,0),W$6)))</f>
        <v/>
      </c>
      <c r="X35" t="str">
        <f>IF($R35="","",IF(INDEX('النصاب الكامل'!$AK$3:$AX$31,MATCH($R35,'النصاب الكامل'!$AK$3:$AK$31,0),X$6)=0,"",INDEX('النصاب الكامل'!$AK$3:$AX$31,MATCH($R35,'النصاب الكامل'!$AK$3:$AK$31,0),X$6)))</f>
        <v/>
      </c>
      <c r="Y35" t="str">
        <f>IF($R35="","",IF(INDEX('النصاب الكامل'!$AK$3:$AX$31,MATCH($R35,'النصاب الكامل'!$AK$3:$AK$31,0),Y$6)=0,"",INDEX('النصاب الكامل'!$AK$3:$AX$31,MATCH($R35,'النصاب الكامل'!$AK$3:$AK$31,0),Y$6)))</f>
        <v/>
      </c>
      <c r="Z35">
        <f>IF($R35="","",IF(INDEX('النصاب الكامل'!$AK$3:$AX$31,MATCH($R35,'النصاب الكامل'!$AK$3:$AK$31,0),Z$6)=0,"",INDEX('النصاب الكامل'!$AK$3:$AX$31,MATCH($R35,'النصاب الكامل'!$AK$3:$AK$31,0),Z$6)))</f>
        <v>3</v>
      </c>
      <c r="AA35">
        <f>IF($R35="","",IF(INDEX('النصاب الكامل'!$AK$3:$AX$31,MATCH($R35,'النصاب الكامل'!$AK$3:$AK$31,0),AA$6)=0,"",INDEX('النصاب الكامل'!$AK$3:$AX$31,MATCH($R35,'النصاب الكامل'!$AK$3:$AK$31,0),AA$6)))</f>
        <v>3</v>
      </c>
      <c r="AB35">
        <f>IF($R35="","",IF(INDEX('النصاب الكامل'!$AK$3:$AX$31,MATCH($R35,'النصاب الكامل'!$AK$3:$AK$31,0),AB$6)=0,"",INDEX('النصاب الكامل'!$AK$3:$AX$31,MATCH($R35,'النصاب الكامل'!$AK$3:$AK$31,0),AB$6)))</f>
        <v>4</v>
      </c>
      <c r="AC35">
        <f>IF($R35="","",IF(INDEX('النصاب الكامل'!$AK$3:$AX$31,MATCH($R35,'النصاب الكامل'!$AK$3:$AK$31,0),AC$6)=0,"",INDEX('النصاب الكامل'!$AK$3:$AX$31,MATCH($R35,'النصاب الكامل'!$AK$3:$AK$31,0),AC$6)))</f>
        <v>4</v>
      </c>
      <c r="AD35" t="str">
        <f>IF($R35="","",IF(INDEX('النصاب الكامل'!$AK$3:$AX$31,MATCH($R35,'النصاب الكامل'!$AK$3:$AK$31,0),AD$6)=0,"",INDEX('النصاب الكامل'!$AK$3:$AX$31,MATCH($R35,'النصاب الكامل'!$AK$3:$AK$31,0),AD$6)))</f>
        <v/>
      </c>
      <c r="AE35" t="str">
        <f>IF($R35="","",IF(INDEX('النصاب الكامل'!$AK$3:$AX$31,MATCH($R35,'النصاب الكامل'!$AK$3:$AK$31,0),AE$6)=0,"",INDEX('النصاب الكامل'!$AK$3:$AX$31,MATCH($R35,'النصاب الكامل'!$AK$3:$AK$31,0),AE$6)))</f>
        <v/>
      </c>
      <c r="AW35">
        <f t="shared" ref="AW35:AW47" si="35">AH9</f>
        <v>6</v>
      </c>
    </row>
    <row r="36" spans="1:54" x14ac:dyDescent="0.45">
      <c r="A36" t="s">
        <v>56</v>
      </c>
      <c r="B36">
        <v>26</v>
      </c>
      <c r="C36" t="str">
        <f>IF($B36="","",INDEX('النصاب الكامل'!$AK$3:$AX$31,MATCH($B36,'النصاب الكامل'!$AK$3:$AK$31,0),C$6))</f>
        <v>موسى</v>
      </c>
      <c r="D36" t="str">
        <f>IF($B36="","",IF(INDEX('النصاب الكامل'!$AK$3:$AX$31,MATCH($B36,'النصاب الكامل'!$AK$3:$AK$31,0),D$6)=0,"",INDEX('النصاب الكامل'!$AK$3:$AX$31,MATCH($B36,'النصاب الكامل'!$AK$3:$AK$31,0),D$6)))</f>
        <v/>
      </c>
      <c r="E36" t="str">
        <f>IF($B36="","",IF(INDEX('النصاب الكامل'!$AK$3:$AX$31,MATCH($B36,'النصاب الكامل'!$AK$3:$AK$31,0),E$6)=0,"",INDEX('النصاب الكامل'!$AK$3:$AX$31,MATCH($B36,'النصاب الكامل'!$AK$3:$AK$31,0),E$6)))</f>
        <v/>
      </c>
      <c r="F36" t="str">
        <f>IF($B36="","",IF(INDEX('النصاب الكامل'!$AK$3:$AX$31,MATCH($B36,'النصاب الكامل'!$AK$3:$AK$31,0),F$6)=0,"",INDEX('النصاب الكامل'!$AK$3:$AX$31,MATCH($B36,'النصاب الكامل'!$AK$3:$AK$31,0),F$6)))</f>
        <v/>
      </c>
      <c r="G36" t="str">
        <f>IF($B36="","",IF(INDEX('النصاب الكامل'!$AK$3:$AX$31,MATCH($B36,'النصاب الكامل'!$AK$3:$AK$31,0),G$6)=0,"",INDEX('النصاب الكامل'!$AK$3:$AX$31,MATCH($B36,'النصاب الكامل'!$AK$3:$AK$31,0),G$6)))</f>
        <v/>
      </c>
      <c r="H36">
        <f>IF($B36="","",IF(INDEX('النصاب الكامل'!$AK$3:$AX$31,MATCH($B36,'النصاب الكامل'!$AK$3:$AK$31,0),H$6)=0,"",INDEX('النصاب الكامل'!$AK$3:$AX$31,MATCH($B36,'النصاب الكامل'!$AK$3:$AK$31,0),H$6)))</f>
        <v>4</v>
      </c>
      <c r="I36">
        <f>IF($B36="","",IF(INDEX('النصاب الكامل'!$AK$3:$AX$31,MATCH($B36,'النصاب الكامل'!$AK$3:$AK$31,0),I$6)=0,"",INDEX('النصاب الكامل'!$AK$3:$AX$31,MATCH($B36,'النصاب الكامل'!$AK$3:$AK$31,0),I$6)))</f>
        <v>4</v>
      </c>
      <c r="J36" t="str">
        <f>IF($B36="","",IF(INDEX('النصاب الكامل'!$AK$3:$AX$31,MATCH($B36,'النصاب الكامل'!$AK$3:$AK$31,0),J$6)=0,"",INDEX('النصاب الكامل'!$AK$3:$AX$31,MATCH($B36,'النصاب الكامل'!$AK$3:$AK$31,0),J$6)))</f>
        <v/>
      </c>
      <c r="K36" t="str">
        <f>IF($B36="","",IF(INDEX('النصاب الكامل'!$AK$3:$AX$31,MATCH($B36,'النصاب الكامل'!$AK$3:$AK$31,0),K$6)=0,"",INDEX('النصاب الكامل'!$AK$3:$AX$31,MATCH($B36,'النصاب الكامل'!$AK$3:$AK$31,0),K$6)))</f>
        <v/>
      </c>
      <c r="L36">
        <f>IF($B36="","",IF(INDEX('النصاب الكامل'!$AK$3:$AX$31,MATCH($B36,'النصاب الكامل'!$AK$3:$AK$31,0),L$6)=0,"",INDEX('النصاب الكامل'!$AK$3:$AX$31,MATCH($B36,'النصاب الكامل'!$AK$3:$AK$31,0),L$6)))</f>
        <v>2</v>
      </c>
      <c r="M36">
        <f>IF($B36="","",IF(INDEX('النصاب الكامل'!$AK$3:$AX$31,MATCH($B36,'النصاب الكامل'!$AK$3:$AK$31,0),M$6)=0,"",INDEX('النصاب الكامل'!$AK$3:$AX$31,MATCH($B36,'النصاب الكامل'!$AK$3:$AK$31,0),M$6)))</f>
        <v>2</v>
      </c>
      <c r="N36" t="str">
        <f>IF($B36="","",IF(INDEX('النصاب الكامل'!$AK$3:$AX$31,MATCH($B36,'النصاب الكامل'!$AK$3:$AK$31,0),N$6)=0,"",INDEX('النصاب الكامل'!$AK$3:$AX$31,MATCH($B36,'النصاب الكامل'!$AK$3:$AK$31,0),N$6)))</f>
        <v/>
      </c>
      <c r="O36" t="str">
        <f>IF($B36="","",IF(INDEX('النصاب الكامل'!$AK$3:$AX$31,MATCH($B36,'النصاب الكامل'!$AK$3:$AK$31,0),O$6)=0,"",INDEX('النصاب الكامل'!$AK$3:$AX$31,MATCH($B36,'النصاب الكامل'!$AK$3:$AK$31,0),O$6)))</f>
        <v/>
      </c>
      <c r="Q36" t="s">
        <v>56</v>
      </c>
      <c r="R36">
        <v>24</v>
      </c>
      <c r="S36" t="str">
        <f>IF($R36="","",INDEX('النصاب الكامل'!$AK$3:$AX$31,MATCH($R36,'النصاب الكامل'!$AK$3:$AK$31,0),S$6))</f>
        <v>حسين العمري</v>
      </c>
      <c r="T36">
        <f>IF($R36="","",IF(INDEX('النصاب الكامل'!$AK$3:$AX$31,MATCH($R36,'النصاب الكامل'!$AK$3:$AK$31,0),T$6)=0,"",INDEX('النصاب الكامل'!$AK$3:$AX$31,MATCH($R36,'النصاب الكامل'!$AK$3:$AK$31,0),T$6)))</f>
        <v>4</v>
      </c>
      <c r="U36" t="str">
        <f>IF($R36="","",IF(INDEX('النصاب الكامل'!$AK$3:$AX$31,MATCH($R36,'النصاب الكامل'!$AK$3:$AK$31,0),U$6)=0,"",INDEX('النصاب الكامل'!$AK$3:$AX$31,MATCH($R36,'النصاب الكامل'!$AK$3:$AK$31,0),U$6)))</f>
        <v/>
      </c>
      <c r="V36" t="str">
        <f>IF($R36="","",IF(INDEX('النصاب الكامل'!$AK$3:$AX$31,MATCH($R36,'النصاب الكامل'!$AK$3:$AK$31,0),V$6)=0,"",INDEX('النصاب الكامل'!$AK$3:$AX$31,MATCH($R36,'النصاب الكامل'!$AK$3:$AK$31,0),V$6)))</f>
        <v/>
      </c>
      <c r="W36" t="str">
        <f>IF($R36="","",IF(INDEX('النصاب الكامل'!$AK$3:$AX$31,MATCH($R36,'النصاب الكامل'!$AK$3:$AK$31,0),W$6)=0,"",INDEX('النصاب الكامل'!$AK$3:$AX$31,MATCH($R36,'النصاب الكامل'!$AK$3:$AK$31,0),W$6)))</f>
        <v/>
      </c>
      <c r="X36" t="str">
        <f>IF($R36="","",IF(INDEX('النصاب الكامل'!$AK$3:$AX$31,MATCH($R36,'النصاب الكامل'!$AK$3:$AK$31,0),X$6)=0,"",INDEX('النصاب الكامل'!$AK$3:$AX$31,MATCH($R36,'النصاب الكامل'!$AK$3:$AK$31,0),X$6)))</f>
        <v/>
      </c>
      <c r="Y36" t="str">
        <f>IF($R36="","",IF(INDEX('النصاب الكامل'!$AK$3:$AX$31,MATCH($R36,'النصاب الكامل'!$AK$3:$AK$31,0),Y$6)=0,"",INDEX('النصاب الكامل'!$AK$3:$AX$31,MATCH($R36,'النصاب الكامل'!$AK$3:$AK$31,0),Y$6)))</f>
        <v/>
      </c>
      <c r="Z36" t="str">
        <f>IF($R36="","",IF(INDEX('النصاب الكامل'!$AK$3:$AX$31,MATCH($R36,'النصاب الكامل'!$AK$3:$AK$31,0),Z$6)=0,"",INDEX('النصاب الكامل'!$AK$3:$AX$31,MATCH($R36,'النصاب الكامل'!$AK$3:$AK$31,0),Z$6)))</f>
        <v/>
      </c>
      <c r="AA36" t="str">
        <f>IF($R36="","",IF(INDEX('النصاب الكامل'!$AK$3:$AX$31,MATCH($R36,'النصاب الكامل'!$AK$3:$AK$31,0),AA$6)=0,"",INDEX('النصاب الكامل'!$AK$3:$AX$31,MATCH($R36,'النصاب الكامل'!$AK$3:$AK$31,0),AA$6)))</f>
        <v/>
      </c>
      <c r="AB36" t="str">
        <f>IF($R36="","",IF(INDEX('النصاب الكامل'!$AK$3:$AX$31,MATCH($R36,'النصاب الكامل'!$AK$3:$AK$31,0),AB$6)=0,"",INDEX('النصاب الكامل'!$AK$3:$AX$31,MATCH($R36,'النصاب الكامل'!$AK$3:$AK$31,0),AB$6)))</f>
        <v/>
      </c>
      <c r="AC36" t="str">
        <f>IF($R36="","",IF(INDEX('النصاب الكامل'!$AK$3:$AX$31,MATCH($R36,'النصاب الكامل'!$AK$3:$AK$31,0),AC$6)=0,"",INDEX('النصاب الكامل'!$AK$3:$AX$31,MATCH($R36,'النصاب الكامل'!$AK$3:$AK$31,0),AC$6)))</f>
        <v/>
      </c>
      <c r="AD36">
        <f>IF($R36="","",IF(INDEX('النصاب الكامل'!$AK$3:$AX$31,MATCH($R36,'النصاب الكامل'!$AK$3:$AK$31,0),AD$6)=0,"",INDEX('النصاب الكامل'!$AK$3:$AX$31,MATCH($R36,'النصاب الكامل'!$AK$3:$AK$31,0),AD$6)))</f>
        <v>5</v>
      </c>
      <c r="AE36">
        <f>IF($R36="","",IF(INDEX('النصاب الكامل'!$AK$3:$AX$31,MATCH($R36,'النصاب الكامل'!$AK$3:$AK$31,0),AE$6)=0,"",INDEX('النصاب الكامل'!$AK$3:$AX$31,MATCH($R36,'النصاب الكامل'!$AK$3:$AK$31,0),AE$6)))</f>
        <v>5</v>
      </c>
      <c r="AW36">
        <f t="shared" si="35"/>
        <v>7</v>
      </c>
    </row>
    <row r="37" spans="1:54" x14ac:dyDescent="0.45">
      <c r="A37" t="s">
        <v>57</v>
      </c>
      <c r="B37">
        <v>27</v>
      </c>
      <c r="C37" t="str">
        <f>IF($B37="","",INDEX('النصاب الكامل'!$AK$3:$AX$31,MATCH($B37,'النصاب الكامل'!$AK$3:$AK$31,0),C$6))</f>
        <v>مهدي</v>
      </c>
      <c r="D37" t="str">
        <f>IF($B37="","",IF(INDEX('النصاب الكامل'!$AK$3:$AX$31,MATCH($B37,'النصاب الكامل'!$AK$3:$AK$31,0),D$6)=0,"",INDEX('النصاب الكامل'!$AK$3:$AX$31,MATCH($B37,'النصاب الكامل'!$AK$3:$AK$31,0),D$6)))</f>
        <v/>
      </c>
      <c r="E37" t="str">
        <f>IF($B37="","",IF(INDEX('النصاب الكامل'!$AK$3:$AX$31,MATCH($B37,'النصاب الكامل'!$AK$3:$AK$31,0),E$6)=0,"",INDEX('النصاب الكامل'!$AK$3:$AX$31,MATCH($B37,'النصاب الكامل'!$AK$3:$AK$31,0),E$6)))</f>
        <v/>
      </c>
      <c r="F37" t="str">
        <f>IF($B37="","",IF(INDEX('النصاب الكامل'!$AK$3:$AX$31,MATCH($B37,'النصاب الكامل'!$AK$3:$AK$31,0),F$6)=0,"",INDEX('النصاب الكامل'!$AK$3:$AX$31,MATCH($B37,'النصاب الكامل'!$AK$3:$AK$31,0),F$6)))</f>
        <v/>
      </c>
      <c r="G37" t="str">
        <f>IF($B37="","",IF(INDEX('النصاب الكامل'!$AK$3:$AX$31,MATCH($B37,'النصاب الكامل'!$AK$3:$AK$31,0),G$6)=0,"",INDEX('النصاب الكامل'!$AK$3:$AX$31,MATCH($B37,'النصاب الكامل'!$AK$3:$AK$31,0),G$6)))</f>
        <v/>
      </c>
      <c r="H37">
        <f>IF($B37="","",IF(INDEX('النصاب الكامل'!$AK$3:$AX$31,MATCH($B37,'النصاب الكامل'!$AK$3:$AK$31,0),H$6)=0,"",INDEX('النصاب الكامل'!$AK$3:$AX$31,MATCH($B37,'النصاب الكامل'!$AK$3:$AK$31,0),H$6)))</f>
        <v>2</v>
      </c>
      <c r="I37">
        <f>IF($B37="","",IF(INDEX('النصاب الكامل'!$AK$3:$AX$31,MATCH($B37,'النصاب الكامل'!$AK$3:$AK$31,0),I$6)=0,"",INDEX('النصاب الكامل'!$AK$3:$AX$31,MATCH($B37,'النصاب الكامل'!$AK$3:$AK$31,0),I$6)))</f>
        <v>2</v>
      </c>
      <c r="J37" t="str">
        <f>IF($B37="","",IF(INDEX('النصاب الكامل'!$AK$3:$AX$31,MATCH($B37,'النصاب الكامل'!$AK$3:$AK$31,0),J$6)=0,"",INDEX('النصاب الكامل'!$AK$3:$AX$31,MATCH($B37,'النصاب الكامل'!$AK$3:$AK$31,0),J$6)))</f>
        <v/>
      </c>
      <c r="K37" t="str">
        <f>IF($B37="","",IF(INDEX('النصاب الكامل'!$AK$3:$AX$31,MATCH($B37,'النصاب الكامل'!$AK$3:$AK$31,0),K$6)=0,"",INDEX('النصاب الكامل'!$AK$3:$AX$31,MATCH($B37,'النصاب الكامل'!$AK$3:$AK$31,0),K$6)))</f>
        <v/>
      </c>
      <c r="L37">
        <f>IF($B37="","",IF(INDEX('النصاب الكامل'!$AK$3:$AX$31,MATCH($B37,'النصاب الكامل'!$AK$3:$AK$31,0),L$6)=0,"",INDEX('النصاب الكامل'!$AK$3:$AX$31,MATCH($B37,'النصاب الكامل'!$AK$3:$AK$31,0),L$6)))</f>
        <v>3</v>
      </c>
      <c r="M37">
        <f>IF($B37="","",IF(INDEX('النصاب الكامل'!$AK$3:$AX$31,MATCH($B37,'النصاب الكامل'!$AK$3:$AK$31,0),M$6)=0,"",INDEX('النصاب الكامل'!$AK$3:$AX$31,MATCH($B37,'النصاب الكامل'!$AK$3:$AK$31,0),M$6)))</f>
        <v>3</v>
      </c>
      <c r="N37" t="str">
        <f>IF($B37="","",IF(INDEX('النصاب الكامل'!$AK$3:$AX$31,MATCH($B37,'النصاب الكامل'!$AK$3:$AK$31,0),N$6)=0,"",INDEX('النصاب الكامل'!$AK$3:$AX$31,MATCH($B37,'النصاب الكامل'!$AK$3:$AK$31,0),N$6)))</f>
        <v/>
      </c>
      <c r="O37" t="str">
        <f>IF($B37="","",IF(INDEX('النصاب الكامل'!$AK$3:$AX$31,MATCH($B37,'النصاب الكامل'!$AK$3:$AK$31,0),O$6)=0,"",INDEX('النصاب الكامل'!$AK$3:$AX$31,MATCH($B37,'النصاب الكامل'!$AK$3:$AK$31,0),O$6)))</f>
        <v/>
      </c>
      <c r="Q37" t="s">
        <v>57</v>
      </c>
      <c r="R37">
        <v>27</v>
      </c>
      <c r="S37" t="str">
        <f>IF($R37="","",INDEX('النصاب الكامل'!$AK$3:$AX$31,MATCH($R37,'النصاب الكامل'!$AK$3:$AK$31,0),S$6))</f>
        <v>مهدي</v>
      </c>
      <c r="T37" t="str">
        <f>IF($R37="","",IF(INDEX('النصاب الكامل'!$AK$3:$AX$31,MATCH($R37,'النصاب الكامل'!$AK$3:$AK$31,0),T$6)=0,"",INDEX('النصاب الكامل'!$AK$3:$AX$31,MATCH($R37,'النصاب الكامل'!$AK$3:$AK$31,0),T$6)))</f>
        <v/>
      </c>
      <c r="U37" t="str">
        <f>IF($R37="","",IF(INDEX('النصاب الكامل'!$AK$3:$AX$31,MATCH($R37,'النصاب الكامل'!$AK$3:$AK$31,0),U$6)=0,"",INDEX('النصاب الكامل'!$AK$3:$AX$31,MATCH($R37,'النصاب الكامل'!$AK$3:$AK$31,0),U$6)))</f>
        <v/>
      </c>
      <c r="V37" t="str">
        <f>IF($R37="","",IF(INDEX('النصاب الكامل'!$AK$3:$AX$31,MATCH($R37,'النصاب الكامل'!$AK$3:$AK$31,0),V$6)=0,"",INDEX('النصاب الكامل'!$AK$3:$AX$31,MATCH($R37,'النصاب الكامل'!$AK$3:$AK$31,0),V$6)))</f>
        <v/>
      </c>
      <c r="W37" t="str">
        <f>IF($R37="","",IF(INDEX('النصاب الكامل'!$AK$3:$AX$31,MATCH($R37,'النصاب الكامل'!$AK$3:$AK$31,0),W$6)=0,"",INDEX('النصاب الكامل'!$AK$3:$AX$31,MATCH($R37,'النصاب الكامل'!$AK$3:$AK$31,0),W$6)))</f>
        <v/>
      </c>
      <c r="X37">
        <f>IF($R37="","",IF(INDEX('النصاب الكامل'!$AK$3:$AX$31,MATCH($R37,'النصاب الكامل'!$AK$3:$AK$31,0),X$6)=0,"",INDEX('النصاب الكامل'!$AK$3:$AX$31,MATCH($R37,'النصاب الكامل'!$AK$3:$AK$31,0),X$6)))</f>
        <v>2</v>
      </c>
      <c r="Y37">
        <f>IF($R37="","",IF(INDEX('النصاب الكامل'!$AK$3:$AX$31,MATCH($R37,'النصاب الكامل'!$AK$3:$AK$31,0),Y$6)=0,"",INDEX('النصاب الكامل'!$AK$3:$AX$31,MATCH($R37,'النصاب الكامل'!$AK$3:$AK$31,0),Y$6)))</f>
        <v>2</v>
      </c>
      <c r="Z37" t="str">
        <f>IF($R37="","",IF(INDEX('النصاب الكامل'!$AK$3:$AX$31,MATCH($R37,'النصاب الكامل'!$AK$3:$AK$31,0),Z$6)=0,"",INDEX('النصاب الكامل'!$AK$3:$AX$31,MATCH($R37,'النصاب الكامل'!$AK$3:$AK$31,0),Z$6)))</f>
        <v/>
      </c>
      <c r="AA37" t="str">
        <f>IF($R37="","",IF(INDEX('النصاب الكامل'!$AK$3:$AX$31,MATCH($R37,'النصاب الكامل'!$AK$3:$AK$31,0),AA$6)=0,"",INDEX('النصاب الكامل'!$AK$3:$AX$31,MATCH($R37,'النصاب الكامل'!$AK$3:$AK$31,0),AA$6)))</f>
        <v/>
      </c>
      <c r="AB37">
        <f>IF($R37="","",IF(INDEX('النصاب الكامل'!$AK$3:$AX$31,MATCH($R37,'النصاب الكامل'!$AK$3:$AK$31,0),AB$6)=0,"",INDEX('النصاب الكامل'!$AK$3:$AX$31,MATCH($R37,'النصاب الكامل'!$AK$3:$AK$31,0),AB$6)))</f>
        <v>3</v>
      </c>
      <c r="AC37">
        <f>IF($R37="","",IF(INDEX('النصاب الكامل'!$AK$3:$AX$31,MATCH($R37,'النصاب الكامل'!$AK$3:$AK$31,0),AC$6)=0,"",INDEX('النصاب الكامل'!$AK$3:$AX$31,MATCH($R37,'النصاب الكامل'!$AK$3:$AK$31,0),AC$6)))</f>
        <v>3</v>
      </c>
      <c r="AD37" t="str">
        <f>IF($R37="","",IF(INDEX('النصاب الكامل'!$AK$3:$AX$31,MATCH($R37,'النصاب الكامل'!$AK$3:$AK$31,0),AD$6)=0,"",INDEX('النصاب الكامل'!$AK$3:$AX$31,MATCH($R37,'النصاب الكامل'!$AK$3:$AK$31,0),AD$6)))</f>
        <v/>
      </c>
      <c r="AE37" t="str">
        <f>IF($R37="","",IF(INDEX('النصاب الكامل'!$AK$3:$AX$31,MATCH($R37,'النصاب الكامل'!$AK$3:$AK$31,0),AE$6)=0,"",INDEX('النصاب الكامل'!$AK$3:$AX$31,MATCH($R37,'النصاب الكامل'!$AK$3:$AK$31,0),AE$6)))</f>
        <v/>
      </c>
      <c r="AW37">
        <f t="shared" si="35"/>
        <v>8</v>
      </c>
    </row>
    <row r="38" spans="1:54" x14ac:dyDescent="0.45">
      <c r="A38" t="s">
        <v>58</v>
      </c>
      <c r="B38">
        <v>28</v>
      </c>
      <c r="C38" t="str">
        <f>IF($B38="","",INDEX('النصاب الكامل'!$AK$3:$AX$31,MATCH($B38,'النصاب الكامل'!$AK$3:$AK$31,0),C$6))</f>
        <v>ناصر</v>
      </c>
      <c r="D38" t="str">
        <f>IF($B38="","",IF(INDEX('النصاب الكامل'!$AK$3:$AX$31,MATCH($B38,'النصاب الكامل'!$AK$3:$AK$31,0),D$6)=0,"",INDEX('النصاب الكامل'!$AK$3:$AX$31,MATCH($B38,'النصاب الكامل'!$AK$3:$AK$31,0),D$6)))</f>
        <v/>
      </c>
      <c r="E38" t="str">
        <f>IF($B38="","",IF(INDEX('النصاب الكامل'!$AK$3:$AX$31,MATCH($B38,'النصاب الكامل'!$AK$3:$AK$31,0),E$6)=0,"",INDEX('النصاب الكامل'!$AK$3:$AX$31,MATCH($B38,'النصاب الكامل'!$AK$3:$AK$31,0),E$6)))</f>
        <v/>
      </c>
      <c r="F38" t="str">
        <f>IF($B38="","",IF(INDEX('النصاب الكامل'!$AK$3:$AX$31,MATCH($B38,'النصاب الكامل'!$AK$3:$AK$31,0),F$6)=0,"",INDEX('النصاب الكامل'!$AK$3:$AX$31,MATCH($B38,'النصاب الكامل'!$AK$3:$AK$31,0),F$6)))</f>
        <v/>
      </c>
      <c r="G38" t="str">
        <f>IF($B38="","",IF(INDEX('النصاب الكامل'!$AK$3:$AX$31,MATCH($B38,'النصاب الكامل'!$AK$3:$AK$31,0),G$6)=0,"",INDEX('النصاب الكامل'!$AK$3:$AX$31,MATCH($B38,'النصاب الكامل'!$AK$3:$AK$31,0),G$6)))</f>
        <v/>
      </c>
      <c r="H38" t="str">
        <f>IF($B38="","",IF(INDEX('النصاب الكامل'!$AK$3:$AX$31,MATCH($B38,'النصاب الكامل'!$AK$3:$AK$31,0),H$6)=0,"",INDEX('النصاب الكامل'!$AK$3:$AX$31,MATCH($B38,'النصاب الكامل'!$AK$3:$AK$31,0),H$6)))</f>
        <v/>
      </c>
      <c r="I38">
        <f>IF($B38="","",IF(INDEX('النصاب الكامل'!$AK$3:$AX$31,MATCH($B38,'النصاب الكامل'!$AK$3:$AK$31,0),I$6)=0,"",INDEX('النصاب الكامل'!$AK$3:$AX$31,MATCH($B38,'النصاب الكامل'!$AK$3:$AK$31,0),I$6)))</f>
        <v>6</v>
      </c>
      <c r="J38" t="str">
        <f>IF($B38="","",IF(INDEX('النصاب الكامل'!$AK$3:$AX$31,MATCH($B38,'النصاب الكامل'!$AK$3:$AK$31,0),J$6)=0,"",INDEX('النصاب الكامل'!$AK$3:$AX$31,MATCH($B38,'النصاب الكامل'!$AK$3:$AK$31,0),J$6)))</f>
        <v/>
      </c>
      <c r="K38" t="str">
        <f>IF($B38="","",IF(INDEX('النصاب الكامل'!$AK$3:$AX$31,MATCH($B38,'النصاب الكامل'!$AK$3:$AK$31,0),K$6)=0,"",INDEX('النصاب الكامل'!$AK$3:$AX$31,MATCH($B38,'النصاب الكامل'!$AK$3:$AK$31,0),K$6)))</f>
        <v/>
      </c>
      <c r="L38">
        <f>IF($B38="","",IF(INDEX('النصاب الكامل'!$AK$3:$AX$31,MATCH($B38,'النصاب الكامل'!$AK$3:$AK$31,0),L$6)=0,"",INDEX('النصاب الكامل'!$AK$3:$AX$31,MATCH($B38,'النصاب الكامل'!$AK$3:$AK$31,0),L$6)))</f>
        <v>5</v>
      </c>
      <c r="M38">
        <f>IF($B38="","",IF(INDEX('النصاب الكامل'!$AK$3:$AX$31,MATCH($B38,'النصاب الكامل'!$AK$3:$AK$31,0),M$6)=0,"",INDEX('النصاب الكامل'!$AK$3:$AX$31,MATCH($B38,'النصاب الكامل'!$AK$3:$AK$31,0),M$6)))</f>
        <v>5</v>
      </c>
      <c r="N38" t="str">
        <f>IF($B38="","",IF(INDEX('النصاب الكامل'!$AK$3:$AX$31,MATCH($B38,'النصاب الكامل'!$AK$3:$AK$31,0),N$6)=0,"",INDEX('النصاب الكامل'!$AK$3:$AX$31,MATCH($B38,'النصاب الكامل'!$AK$3:$AK$31,0),N$6)))</f>
        <v/>
      </c>
      <c r="O38" t="str">
        <f>IF($B38="","",IF(INDEX('النصاب الكامل'!$AK$3:$AX$31,MATCH($B38,'النصاب الكامل'!$AK$3:$AK$31,0),O$6)=0,"",INDEX('النصاب الكامل'!$AK$3:$AX$31,MATCH($B38,'النصاب الكامل'!$AK$3:$AK$31,0),O$6)))</f>
        <v/>
      </c>
      <c r="Q38" t="s">
        <v>58</v>
      </c>
      <c r="R38">
        <v>28</v>
      </c>
      <c r="S38" t="str">
        <f>IF($R38="","",INDEX('النصاب الكامل'!$AK$3:$AX$31,MATCH($R38,'النصاب الكامل'!$AK$3:$AK$31,0),S$6))</f>
        <v>ناصر</v>
      </c>
      <c r="T38" t="str">
        <f>IF($R38="","",IF(INDEX('النصاب الكامل'!$AK$3:$AX$31,MATCH($R38,'النصاب الكامل'!$AK$3:$AK$31,0),T$6)=0,"",INDEX('النصاب الكامل'!$AK$3:$AX$31,MATCH($R38,'النصاب الكامل'!$AK$3:$AK$31,0),T$6)))</f>
        <v/>
      </c>
      <c r="U38" t="str">
        <f>IF($R38="","",IF(INDEX('النصاب الكامل'!$AK$3:$AX$31,MATCH($R38,'النصاب الكامل'!$AK$3:$AK$31,0),U$6)=0,"",INDEX('النصاب الكامل'!$AK$3:$AX$31,MATCH($R38,'النصاب الكامل'!$AK$3:$AK$31,0),U$6)))</f>
        <v/>
      </c>
      <c r="V38" t="str">
        <f>IF($R38="","",IF(INDEX('النصاب الكامل'!$AK$3:$AX$31,MATCH($R38,'النصاب الكامل'!$AK$3:$AK$31,0),V$6)=0,"",INDEX('النصاب الكامل'!$AK$3:$AX$31,MATCH($R38,'النصاب الكامل'!$AK$3:$AK$31,0),V$6)))</f>
        <v/>
      </c>
      <c r="W38" t="str">
        <f>IF($R38="","",IF(INDEX('النصاب الكامل'!$AK$3:$AX$31,MATCH($R38,'النصاب الكامل'!$AK$3:$AK$31,0),W$6)=0,"",INDEX('النصاب الكامل'!$AK$3:$AX$31,MATCH($R38,'النصاب الكامل'!$AK$3:$AK$31,0),W$6)))</f>
        <v/>
      </c>
      <c r="X38" t="str">
        <f>IF($R38="","",IF(INDEX('النصاب الكامل'!$AK$3:$AX$31,MATCH($R38,'النصاب الكامل'!$AK$3:$AK$31,0),X$6)=0,"",INDEX('النصاب الكامل'!$AK$3:$AX$31,MATCH($R38,'النصاب الكامل'!$AK$3:$AK$31,0),X$6)))</f>
        <v/>
      </c>
      <c r="Y38">
        <f>IF($R38="","",IF(INDEX('النصاب الكامل'!$AK$3:$AX$31,MATCH($R38,'النصاب الكامل'!$AK$3:$AK$31,0),Y$6)=0,"",INDEX('النصاب الكامل'!$AK$3:$AX$31,MATCH($R38,'النصاب الكامل'!$AK$3:$AK$31,0),Y$6)))</f>
        <v>6</v>
      </c>
      <c r="Z38" t="str">
        <f>IF($R38="","",IF(INDEX('النصاب الكامل'!$AK$3:$AX$31,MATCH($R38,'النصاب الكامل'!$AK$3:$AK$31,0),Z$6)=0,"",INDEX('النصاب الكامل'!$AK$3:$AX$31,MATCH($R38,'النصاب الكامل'!$AK$3:$AK$31,0),Z$6)))</f>
        <v/>
      </c>
      <c r="AA38" t="str">
        <f>IF($R38="","",IF(INDEX('النصاب الكامل'!$AK$3:$AX$31,MATCH($R38,'النصاب الكامل'!$AK$3:$AK$31,0),AA$6)=0,"",INDEX('النصاب الكامل'!$AK$3:$AX$31,MATCH($R38,'النصاب الكامل'!$AK$3:$AK$31,0),AA$6)))</f>
        <v/>
      </c>
      <c r="AB38">
        <f>IF($R38="","",IF(INDEX('النصاب الكامل'!$AK$3:$AX$31,MATCH($R38,'النصاب الكامل'!$AK$3:$AK$31,0),AB$6)=0,"",INDEX('النصاب الكامل'!$AK$3:$AX$31,MATCH($R38,'النصاب الكامل'!$AK$3:$AK$31,0),AB$6)))</f>
        <v>5</v>
      </c>
      <c r="AC38">
        <f>IF($R38="","",IF(INDEX('النصاب الكامل'!$AK$3:$AX$31,MATCH($R38,'النصاب الكامل'!$AK$3:$AK$31,0),AC$6)=0,"",INDEX('النصاب الكامل'!$AK$3:$AX$31,MATCH($R38,'النصاب الكامل'!$AK$3:$AK$31,0),AC$6)))</f>
        <v>5</v>
      </c>
      <c r="AD38" t="str">
        <f>IF($R38="","",IF(INDEX('النصاب الكامل'!$AK$3:$AX$31,MATCH($R38,'النصاب الكامل'!$AK$3:$AK$31,0),AD$6)=0,"",INDEX('النصاب الكامل'!$AK$3:$AX$31,MATCH($R38,'النصاب الكامل'!$AK$3:$AK$31,0),AD$6)))</f>
        <v/>
      </c>
      <c r="AE38" t="str">
        <f>IF($R38="","",IF(INDEX('النصاب الكامل'!$AK$3:$AX$31,MATCH($R38,'النصاب الكامل'!$AK$3:$AK$31,0),AE$6)=0,"",INDEX('النصاب الكامل'!$AK$3:$AX$31,MATCH($R38,'النصاب الكامل'!$AK$3:$AK$31,0),AE$6)))</f>
        <v/>
      </c>
      <c r="AW38">
        <f t="shared" si="35"/>
        <v>11</v>
      </c>
    </row>
    <row r="39" spans="1:54" x14ac:dyDescent="0.45">
      <c r="A39" t="s">
        <v>59</v>
      </c>
      <c r="C39" t="str">
        <f>IF($B39="","",INDEX('النصاب الكامل'!$AK$3:$AX$31,MATCH($B39,'النصاب الكامل'!$AK$3:$AK$31,0),C$6))</f>
        <v/>
      </c>
      <c r="D39" t="str">
        <f>IF($B39="","",IF(INDEX('النصاب الكامل'!$AK$3:$AX$31,MATCH($B39,'النصاب الكامل'!$AK$3:$AK$31,0),D$6)=0,"",INDEX('النصاب الكامل'!$AK$3:$AX$31,MATCH($B39,'النصاب الكامل'!$AK$3:$AK$31,0),D$6)))</f>
        <v/>
      </c>
      <c r="E39" t="str">
        <f>IF($B39="","",IF(INDEX('النصاب الكامل'!$AK$3:$AX$31,MATCH($B39,'النصاب الكامل'!$AK$3:$AK$31,0),E$6)=0,"",INDEX('النصاب الكامل'!$AK$3:$AX$31,MATCH($B39,'النصاب الكامل'!$AK$3:$AK$31,0),E$6)))</f>
        <v/>
      </c>
      <c r="F39" t="str">
        <f>IF($B39="","",IF(INDEX('النصاب الكامل'!$AK$3:$AX$31,MATCH($B39,'النصاب الكامل'!$AK$3:$AK$31,0),F$6)=0,"",INDEX('النصاب الكامل'!$AK$3:$AX$31,MATCH($B39,'النصاب الكامل'!$AK$3:$AK$31,0),F$6)))</f>
        <v/>
      </c>
      <c r="G39" t="str">
        <f>IF($B39="","",IF(INDEX('النصاب الكامل'!$AK$3:$AX$31,MATCH($B39,'النصاب الكامل'!$AK$3:$AK$31,0),G$6)=0,"",INDEX('النصاب الكامل'!$AK$3:$AX$31,MATCH($B39,'النصاب الكامل'!$AK$3:$AK$31,0),G$6)))</f>
        <v/>
      </c>
      <c r="H39" t="str">
        <f>IF($B39="","",IF(INDEX('النصاب الكامل'!$AK$3:$AX$31,MATCH($B39,'النصاب الكامل'!$AK$3:$AK$31,0),H$6)=0,"",INDEX('النصاب الكامل'!$AK$3:$AX$31,MATCH($B39,'النصاب الكامل'!$AK$3:$AK$31,0),H$6)))</f>
        <v/>
      </c>
      <c r="I39" t="str">
        <f>IF($B39="","",IF(INDEX('النصاب الكامل'!$AK$3:$AX$31,MATCH($B39,'النصاب الكامل'!$AK$3:$AK$31,0),I$6)=0,"",INDEX('النصاب الكامل'!$AK$3:$AX$31,MATCH($B39,'النصاب الكامل'!$AK$3:$AK$31,0),I$6)))</f>
        <v/>
      </c>
      <c r="J39" t="str">
        <f>IF($B39="","",IF(INDEX('النصاب الكامل'!$AK$3:$AX$31,MATCH($B39,'النصاب الكامل'!$AK$3:$AK$31,0),J$6)=0,"",INDEX('النصاب الكامل'!$AK$3:$AX$31,MATCH($B39,'النصاب الكامل'!$AK$3:$AK$31,0),J$6)))</f>
        <v/>
      </c>
      <c r="K39" t="str">
        <f>IF($B39="","",IF(INDEX('النصاب الكامل'!$AK$3:$AX$31,MATCH($B39,'النصاب الكامل'!$AK$3:$AK$31,0),K$6)=0,"",INDEX('النصاب الكامل'!$AK$3:$AX$31,MATCH($B39,'النصاب الكامل'!$AK$3:$AK$31,0),K$6)))</f>
        <v/>
      </c>
      <c r="L39" t="str">
        <f>IF($B39="","",IF(INDEX('النصاب الكامل'!$AK$3:$AX$31,MATCH($B39,'النصاب الكامل'!$AK$3:$AK$31,0),L$6)=0,"",INDEX('النصاب الكامل'!$AK$3:$AX$31,MATCH($B39,'النصاب الكامل'!$AK$3:$AK$31,0),L$6)))</f>
        <v/>
      </c>
      <c r="M39" t="str">
        <f>IF($B39="","",IF(INDEX('النصاب الكامل'!$AK$3:$AX$31,MATCH($B39,'النصاب الكامل'!$AK$3:$AK$31,0),M$6)=0,"",INDEX('النصاب الكامل'!$AK$3:$AX$31,MATCH($B39,'النصاب الكامل'!$AK$3:$AK$31,0),M$6)))</f>
        <v/>
      </c>
      <c r="N39" t="str">
        <f>IF($B39="","",IF(INDEX('النصاب الكامل'!$AK$3:$AX$31,MATCH($B39,'النصاب الكامل'!$AK$3:$AK$31,0),N$6)=0,"",INDEX('النصاب الكامل'!$AK$3:$AX$31,MATCH($B39,'النصاب الكامل'!$AK$3:$AK$31,0),N$6)))</f>
        <v/>
      </c>
      <c r="O39" t="str">
        <f>IF($B39="","",IF(INDEX('النصاب الكامل'!$AK$3:$AX$31,MATCH($B39,'النصاب الكامل'!$AK$3:$AK$31,0),O$6)=0,"",INDEX('النصاب الكامل'!$AK$3:$AX$31,MATCH($B39,'النصاب الكامل'!$AK$3:$AK$31,0),O$6)))</f>
        <v/>
      </c>
      <c r="Q39" t="s">
        <v>59</v>
      </c>
      <c r="S39" t="str">
        <f>IF($R39="","",INDEX('النصاب الكامل'!$AK$3:$AX$31,MATCH($R39,'النصاب الكامل'!$AK$3:$AK$31,0),S$6))</f>
        <v/>
      </c>
      <c r="T39" t="str">
        <f>IF($R39="","",IF(INDEX('النصاب الكامل'!$AK$3:$AX$31,MATCH($R39,'النصاب الكامل'!$AK$3:$AK$31,0),T$6)=0,"",INDEX('النصاب الكامل'!$AK$3:$AX$31,MATCH($R39,'النصاب الكامل'!$AK$3:$AK$31,0),T$6)))</f>
        <v/>
      </c>
      <c r="U39" t="str">
        <f>IF($R39="","",IF(INDEX('النصاب الكامل'!$AK$3:$AX$31,MATCH($R39,'النصاب الكامل'!$AK$3:$AK$31,0),U$6)=0,"",INDEX('النصاب الكامل'!$AK$3:$AX$31,MATCH($R39,'النصاب الكامل'!$AK$3:$AK$31,0),U$6)))</f>
        <v/>
      </c>
      <c r="V39" t="str">
        <f>IF($R39="","",IF(INDEX('النصاب الكامل'!$AK$3:$AX$31,MATCH($R39,'النصاب الكامل'!$AK$3:$AK$31,0),V$6)=0,"",INDEX('النصاب الكامل'!$AK$3:$AX$31,MATCH($R39,'النصاب الكامل'!$AK$3:$AK$31,0),V$6)))</f>
        <v/>
      </c>
      <c r="W39" t="str">
        <f>IF($R39="","",IF(INDEX('النصاب الكامل'!$AK$3:$AX$31,MATCH($R39,'النصاب الكامل'!$AK$3:$AK$31,0),W$6)=0,"",INDEX('النصاب الكامل'!$AK$3:$AX$31,MATCH($R39,'النصاب الكامل'!$AK$3:$AK$31,0),W$6)))</f>
        <v/>
      </c>
      <c r="X39" t="str">
        <f>IF($R39="","",IF(INDEX('النصاب الكامل'!$AK$3:$AX$31,MATCH($R39,'النصاب الكامل'!$AK$3:$AK$31,0),X$6)=0,"",INDEX('النصاب الكامل'!$AK$3:$AX$31,MATCH($R39,'النصاب الكامل'!$AK$3:$AK$31,0),X$6)))</f>
        <v/>
      </c>
      <c r="Y39" t="str">
        <f>IF($R39="","",IF(INDEX('النصاب الكامل'!$AK$3:$AX$31,MATCH($R39,'النصاب الكامل'!$AK$3:$AK$31,0),Y$6)=0,"",INDEX('النصاب الكامل'!$AK$3:$AX$31,MATCH($R39,'النصاب الكامل'!$AK$3:$AK$31,0),Y$6)))</f>
        <v/>
      </c>
      <c r="Z39" t="str">
        <f>IF($R39="","",IF(INDEX('النصاب الكامل'!$AK$3:$AX$31,MATCH($R39,'النصاب الكامل'!$AK$3:$AK$31,0),Z$6)=0,"",INDEX('النصاب الكامل'!$AK$3:$AX$31,MATCH($R39,'النصاب الكامل'!$AK$3:$AK$31,0),Z$6)))</f>
        <v/>
      </c>
      <c r="AA39" t="str">
        <f>IF($R39="","",IF(INDEX('النصاب الكامل'!$AK$3:$AX$31,MATCH($R39,'النصاب الكامل'!$AK$3:$AK$31,0),AA$6)=0,"",INDEX('النصاب الكامل'!$AK$3:$AX$31,MATCH($R39,'النصاب الكامل'!$AK$3:$AK$31,0),AA$6)))</f>
        <v/>
      </c>
      <c r="AB39" t="str">
        <f>IF($R39="","",IF(INDEX('النصاب الكامل'!$AK$3:$AX$31,MATCH($R39,'النصاب الكامل'!$AK$3:$AK$31,0),AB$6)=0,"",INDEX('النصاب الكامل'!$AK$3:$AX$31,MATCH($R39,'النصاب الكامل'!$AK$3:$AK$31,0),AB$6)))</f>
        <v/>
      </c>
      <c r="AC39" t="str">
        <f>IF($R39="","",IF(INDEX('النصاب الكامل'!$AK$3:$AX$31,MATCH($R39,'النصاب الكامل'!$AK$3:$AK$31,0),AC$6)=0,"",INDEX('النصاب الكامل'!$AK$3:$AX$31,MATCH($R39,'النصاب الكامل'!$AK$3:$AK$31,0),AC$6)))</f>
        <v/>
      </c>
      <c r="AD39" t="str">
        <f>IF($R39="","",IF(INDEX('النصاب الكامل'!$AK$3:$AX$31,MATCH($R39,'النصاب الكامل'!$AK$3:$AK$31,0),AD$6)=0,"",INDEX('النصاب الكامل'!$AK$3:$AX$31,MATCH($R39,'النصاب الكامل'!$AK$3:$AK$31,0),AD$6)))</f>
        <v/>
      </c>
      <c r="AE39" t="str">
        <f>IF($R39="","",IF(INDEX('النصاب الكامل'!$AK$3:$AX$31,MATCH($R39,'النصاب الكامل'!$AK$3:$AK$31,0),AE$6)=0,"",INDEX('النصاب الكامل'!$AK$3:$AX$31,MATCH($R39,'النصاب الكامل'!$AK$3:$AK$31,0),AE$6)))</f>
        <v/>
      </c>
      <c r="AW39">
        <f t="shared" si="35"/>
        <v>16</v>
      </c>
    </row>
    <row r="40" spans="1:54" x14ac:dyDescent="0.45">
      <c r="A40" t="s">
        <v>60</v>
      </c>
      <c r="C40" t="str">
        <f>IF($B40="","",INDEX('النصاب الكامل'!$AK$3:$AX$31,MATCH($B40,'النصاب الكامل'!$AK$3:$AK$31,0),C$6))</f>
        <v/>
      </c>
      <c r="D40" t="str">
        <f>IF($B40="","",IF(INDEX('النصاب الكامل'!$AK$3:$AX$31,MATCH($B40,'النصاب الكامل'!$AK$3:$AK$31,0),D$6)=0,"",INDEX('النصاب الكامل'!$AK$3:$AX$31,MATCH($B40,'النصاب الكامل'!$AK$3:$AK$31,0),D$6)))</f>
        <v/>
      </c>
      <c r="E40" t="str">
        <f>IF($B40="","",IF(INDEX('النصاب الكامل'!$AK$3:$AX$31,MATCH($B40,'النصاب الكامل'!$AK$3:$AK$31,0),E$6)=0,"",INDEX('النصاب الكامل'!$AK$3:$AX$31,MATCH($B40,'النصاب الكامل'!$AK$3:$AK$31,0),E$6)))</f>
        <v/>
      </c>
      <c r="F40" t="str">
        <f>IF($B40="","",IF(INDEX('النصاب الكامل'!$AK$3:$AX$31,MATCH($B40,'النصاب الكامل'!$AK$3:$AK$31,0),F$6)=0,"",INDEX('النصاب الكامل'!$AK$3:$AX$31,MATCH($B40,'النصاب الكامل'!$AK$3:$AK$31,0),F$6)))</f>
        <v/>
      </c>
      <c r="G40" t="str">
        <f>IF($B40="","",IF(INDEX('النصاب الكامل'!$AK$3:$AX$31,MATCH($B40,'النصاب الكامل'!$AK$3:$AK$31,0),G$6)=0,"",INDEX('النصاب الكامل'!$AK$3:$AX$31,MATCH($B40,'النصاب الكامل'!$AK$3:$AK$31,0),G$6)))</f>
        <v/>
      </c>
      <c r="H40" t="str">
        <f>IF($B40="","",IF(INDEX('النصاب الكامل'!$AK$3:$AX$31,MATCH($B40,'النصاب الكامل'!$AK$3:$AK$31,0),H$6)=0,"",INDEX('النصاب الكامل'!$AK$3:$AX$31,MATCH($B40,'النصاب الكامل'!$AK$3:$AK$31,0),H$6)))</f>
        <v/>
      </c>
      <c r="I40" t="str">
        <f>IF($B40="","",IF(INDEX('النصاب الكامل'!$AK$3:$AX$31,MATCH($B40,'النصاب الكامل'!$AK$3:$AK$31,0),I$6)=0,"",INDEX('النصاب الكامل'!$AK$3:$AX$31,MATCH($B40,'النصاب الكامل'!$AK$3:$AK$31,0),I$6)))</f>
        <v/>
      </c>
      <c r="J40" t="str">
        <f>IF($B40="","",IF(INDEX('النصاب الكامل'!$AK$3:$AX$31,MATCH($B40,'النصاب الكامل'!$AK$3:$AK$31,0),J$6)=0,"",INDEX('النصاب الكامل'!$AK$3:$AX$31,MATCH($B40,'النصاب الكامل'!$AK$3:$AK$31,0),J$6)))</f>
        <v/>
      </c>
      <c r="K40" t="str">
        <f>IF($B40="","",IF(INDEX('النصاب الكامل'!$AK$3:$AX$31,MATCH($B40,'النصاب الكامل'!$AK$3:$AK$31,0),K$6)=0,"",INDEX('النصاب الكامل'!$AK$3:$AX$31,MATCH($B40,'النصاب الكامل'!$AK$3:$AK$31,0),K$6)))</f>
        <v/>
      </c>
      <c r="L40" t="str">
        <f>IF($B40="","",IF(INDEX('النصاب الكامل'!$AK$3:$AX$31,MATCH($B40,'النصاب الكامل'!$AK$3:$AK$31,0),L$6)=0,"",INDEX('النصاب الكامل'!$AK$3:$AX$31,MATCH($B40,'النصاب الكامل'!$AK$3:$AK$31,0),L$6)))</f>
        <v/>
      </c>
      <c r="M40" t="str">
        <f>IF($B40="","",IF(INDEX('النصاب الكامل'!$AK$3:$AX$31,MATCH($B40,'النصاب الكامل'!$AK$3:$AK$31,0),M$6)=0,"",INDEX('النصاب الكامل'!$AK$3:$AX$31,MATCH($B40,'النصاب الكامل'!$AK$3:$AK$31,0),M$6)))</f>
        <v/>
      </c>
      <c r="N40" t="str">
        <f>IF($B40="","",IF(INDEX('النصاب الكامل'!$AK$3:$AX$31,MATCH($B40,'النصاب الكامل'!$AK$3:$AK$31,0),N$6)=0,"",INDEX('النصاب الكامل'!$AK$3:$AX$31,MATCH($B40,'النصاب الكامل'!$AK$3:$AK$31,0),N$6)))</f>
        <v/>
      </c>
      <c r="O40" t="str">
        <f>IF($B40="","",IF(INDEX('النصاب الكامل'!$AK$3:$AX$31,MATCH($B40,'النصاب الكامل'!$AK$3:$AK$31,0),O$6)=0,"",INDEX('النصاب الكامل'!$AK$3:$AX$31,MATCH($B40,'النصاب الكامل'!$AK$3:$AK$31,0),O$6)))</f>
        <v/>
      </c>
      <c r="Q40" t="s">
        <v>60</v>
      </c>
      <c r="S40" t="str">
        <f>IF($R40="","",INDEX('النصاب الكامل'!$AK$3:$AX$31,MATCH($R40,'النصاب الكامل'!$AK$3:$AK$31,0),S$6))</f>
        <v/>
      </c>
      <c r="T40" t="str">
        <f>IF($R40="","",IF(INDEX('النصاب الكامل'!$AK$3:$AX$31,MATCH($R40,'النصاب الكامل'!$AK$3:$AK$31,0),T$6)=0,"",INDEX('النصاب الكامل'!$AK$3:$AX$31,MATCH($R40,'النصاب الكامل'!$AK$3:$AK$31,0),T$6)))</f>
        <v/>
      </c>
      <c r="U40" t="str">
        <f>IF($R40="","",IF(INDEX('النصاب الكامل'!$AK$3:$AX$31,MATCH($R40,'النصاب الكامل'!$AK$3:$AK$31,0),U$6)=0,"",INDEX('النصاب الكامل'!$AK$3:$AX$31,MATCH($R40,'النصاب الكامل'!$AK$3:$AK$31,0),U$6)))</f>
        <v/>
      </c>
      <c r="V40" t="str">
        <f>IF($R40="","",IF(INDEX('النصاب الكامل'!$AK$3:$AX$31,MATCH($R40,'النصاب الكامل'!$AK$3:$AK$31,0),V$6)=0,"",INDEX('النصاب الكامل'!$AK$3:$AX$31,MATCH($R40,'النصاب الكامل'!$AK$3:$AK$31,0),V$6)))</f>
        <v/>
      </c>
      <c r="W40" t="str">
        <f>IF($R40="","",IF(INDEX('النصاب الكامل'!$AK$3:$AX$31,MATCH($R40,'النصاب الكامل'!$AK$3:$AK$31,0),W$6)=0,"",INDEX('النصاب الكامل'!$AK$3:$AX$31,MATCH($R40,'النصاب الكامل'!$AK$3:$AK$31,0),W$6)))</f>
        <v/>
      </c>
      <c r="X40" t="str">
        <f>IF($R40="","",IF(INDEX('النصاب الكامل'!$AK$3:$AX$31,MATCH($R40,'النصاب الكامل'!$AK$3:$AK$31,0),X$6)=0,"",INDEX('النصاب الكامل'!$AK$3:$AX$31,MATCH($R40,'النصاب الكامل'!$AK$3:$AK$31,0),X$6)))</f>
        <v/>
      </c>
      <c r="Y40" t="str">
        <f>IF($R40="","",IF(INDEX('النصاب الكامل'!$AK$3:$AX$31,MATCH($R40,'النصاب الكامل'!$AK$3:$AK$31,0),Y$6)=0,"",INDEX('النصاب الكامل'!$AK$3:$AX$31,MATCH($R40,'النصاب الكامل'!$AK$3:$AK$31,0),Y$6)))</f>
        <v/>
      </c>
      <c r="Z40" t="str">
        <f>IF($R40="","",IF(INDEX('النصاب الكامل'!$AK$3:$AX$31,MATCH($R40,'النصاب الكامل'!$AK$3:$AK$31,0),Z$6)=0,"",INDEX('النصاب الكامل'!$AK$3:$AX$31,MATCH($R40,'النصاب الكامل'!$AK$3:$AK$31,0),Z$6)))</f>
        <v/>
      </c>
      <c r="AA40" t="str">
        <f>IF($R40="","",IF(INDEX('النصاب الكامل'!$AK$3:$AX$31,MATCH($R40,'النصاب الكامل'!$AK$3:$AK$31,0),AA$6)=0,"",INDEX('النصاب الكامل'!$AK$3:$AX$31,MATCH($R40,'النصاب الكامل'!$AK$3:$AK$31,0),AA$6)))</f>
        <v/>
      </c>
      <c r="AB40" t="str">
        <f>IF($R40="","",IF(INDEX('النصاب الكامل'!$AK$3:$AX$31,MATCH($R40,'النصاب الكامل'!$AK$3:$AK$31,0),AB$6)=0,"",INDEX('النصاب الكامل'!$AK$3:$AX$31,MATCH($R40,'النصاب الكامل'!$AK$3:$AK$31,0),AB$6)))</f>
        <v/>
      </c>
      <c r="AC40" t="str">
        <f>IF($R40="","",IF(INDEX('النصاب الكامل'!$AK$3:$AX$31,MATCH($R40,'النصاب الكامل'!$AK$3:$AK$31,0),AC$6)=0,"",INDEX('النصاب الكامل'!$AK$3:$AX$31,MATCH($R40,'النصاب الكامل'!$AK$3:$AK$31,0),AC$6)))</f>
        <v/>
      </c>
      <c r="AD40" t="str">
        <f>IF($R40="","",IF(INDEX('النصاب الكامل'!$AK$3:$AX$31,MATCH($R40,'النصاب الكامل'!$AK$3:$AK$31,0),AD$6)=0,"",INDEX('النصاب الكامل'!$AK$3:$AX$31,MATCH($R40,'النصاب الكامل'!$AK$3:$AK$31,0),AD$6)))</f>
        <v/>
      </c>
      <c r="AE40" t="str">
        <f>IF($R40="","",IF(INDEX('النصاب الكامل'!$AK$3:$AX$31,MATCH($R40,'النصاب الكامل'!$AK$3:$AK$31,0),AE$6)=0,"",INDEX('النصاب الكامل'!$AK$3:$AX$31,MATCH($R40,'النصاب الكامل'!$AK$3:$AK$31,0),AE$6)))</f>
        <v/>
      </c>
      <c r="AW40">
        <f t="shared" si="35"/>
        <v>18</v>
      </c>
    </row>
    <row r="41" spans="1:54" x14ac:dyDescent="0.45">
      <c r="B41">
        <f>COUNT(B27:B40)</f>
        <v>12</v>
      </c>
      <c r="D41">
        <f>COUNT(D27:D40)</f>
        <v>4</v>
      </c>
      <c r="E41">
        <f t="shared" ref="E41" si="36">COUNT(E27:E40)</f>
        <v>0</v>
      </c>
      <c r="F41">
        <f t="shared" ref="F41" si="37">COUNT(F27:F40)</f>
        <v>4</v>
      </c>
      <c r="G41">
        <f t="shared" ref="G41" si="38">COUNT(G27:G40)</f>
        <v>4</v>
      </c>
      <c r="H41">
        <f t="shared" ref="H41" si="39">COUNT(H27:H40)</f>
        <v>5</v>
      </c>
      <c r="I41">
        <f t="shared" ref="I41" si="40">COUNT(I27:I40)</f>
        <v>5</v>
      </c>
      <c r="J41">
        <f t="shared" ref="J41" si="41">COUNT(J27:J40)</f>
        <v>3</v>
      </c>
      <c r="K41">
        <f t="shared" ref="K41" si="42">COUNT(K27:K40)</f>
        <v>3</v>
      </c>
      <c r="L41">
        <f t="shared" ref="L41" si="43">COUNT(L27:L40)</f>
        <v>6</v>
      </c>
      <c r="M41">
        <f t="shared" ref="M41" si="44">COUNT(M27:M40)</f>
        <v>6</v>
      </c>
      <c r="N41">
        <f t="shared" ref="N41" si="45">COUNT(N27:N40)</f>
        <v>1</v>
      </c>
      <c r="O41">
        <f t="shared" ref="O41" si="46">COUNT(O27:O40)</f>
        <v>1</v>
      </c>
      <c r="R41">
        <f>COUNT(R27:R40)</f>
        <v>12</v>
      </c>
      <c r="T41">
        <f>COUNT(T27:T40)</f>
        <v>3</v>
      </c>
      <c r="U41">
        <f t="shared" ref="U41" si="47">COUNT(U27:U40)</f>
        <v>0</v>
      </c>
      <c r="V41">
        <f t="shared" ref="V41" si="48">COUNT(V27:V40)</f>
        <v>4</v>
      </c>
      <c r="W41">
        <f t="shared" ref="W41" si="49">COUNT(W27:W40)</f>
        <v>4</v>
      </c>
      <c r="X41">
        <f t="shared" ref="X41" si="50">COUNT(X27:X40)</f>
        <v>4</v>
      </c>
      <c r="Y41">
        <f t="shared" ref="Y41" si="51">COUNT(Y27:Y40)</f>
        <v>4</v>
      </c>
      <c r="Z41">
        <f t="shared" ref="Z41" si="52">COUNT(Z27:Z40)</f>
        <v>4</v>
      </c>
      <c r="AA41">
        <f t="shared" ref="AA41" si="53">COUNT(AA27:AA40)</f>
        <v>4</v>
      </c>
      <c r="AB41">
        <f t="shared" ref="AB41" si="54">COUNT(AB27:AB40)</f>
        <v>3</v>
      </c>
      <c r="AC41">
        <f t="shared" ref="AC41" si="55">COUNT(AC27:AC40)</f>
        <v>3</v>
      </c>
      <c r="AD41">
        <f t="shared" ref="AD41" si="56">COUNT(AD27:AD40)</f>
        <v>4</v>
      </c>
      <c r="AE41">
        <f t="shared" ref="AE41" si="57">COUNT(AE27:AE40)</f>
        <v>4</v>
      </c>
      <c r="AW41">
        <f t="shared" si="35"/>
        <v>19</v>
      </c>
    </row>
    <row r="42" spans="1:54" x14ac:dyDescent="0.45">
      <c r="D42">
        <f>SUM(D27:D40)</f>
        <v>14</v>
      </c>
      <c r="E42">
        <f t="shared" ref="E42:O42" si="58">SUM(E27:E40)</f>
        <v>0</v>
      </c>
      <c r="F42">
        <f t="shared" si="58"/>
        <v>14</v>
      </c>
      <c r="G42">
        <f t="shared" si="58"/>
        <v>14</v>
      </c>
      <c r="H42">
        <f t="shared" si="58"/>
        <v>20</v>
      </c>
      <c r="I42">
        <f t="shared" si="58"/>
        <v>20</v>
      </c>
      <c r="J42">
        <f t="shared" si="58"/>
        <v>12</v>
      </c>
      <c r="K42">
        <f t="shared" si="58"/>
        <v>12</v>
      </c>
      <c r="L42">
        <f t="shared" si="58"/>
        <v>23</v>
      </c>
      <c r="M42">
        <f t="shared" si="58"/>
        <v>23</v>
      </c>
      <c r="N42">
        <f t="shared" si="58"/>
        <v>5</v>
      </c>
      <c r="O42">
        <f t="shared" si="58"/>
        <v>5</v>
      </c>
      <c r="T42">
        <f>SUM(T27:T40)</f>
        <v>17</v>
      </c>
      <c r="U42">
        <f t="shared" ref="U42:AE42" si="59">SUM(U27:U40)</f>
        <v>0</v>
      </c>
      <c r="V42">
        <f t="shared" si="59"/>
        <v>17</v>
      </c>
      <c r="W42">
        <f t="shared" si="59"/>
        <v>17</v>
      </c>
      <c r="X42">
        <f t="shared" si="59"/>
        <v>14</v>
      </c>
      <c r="Y42">
        <f t="shared" si="59"/>
        <v>14</v>
      </c>
      <c r="Z42">
        <f t="shared" si="59"/>
        <v>16</v>
      </c>
      <c r="AA42">
        <f t="shared" si="59"/>
        <v>16</v>
      </c>
      <c r="AB42">
        <f t="shared" si="59"/>
        <v>12</v>
      </c>
      <c r="AC42">
        <f t="shared" si="59"/>
        <v>12</v>
      </c>
      <c r="AD42">
        <f t="shared" si="59"/>
        <v>14</v>
      </c>
      <c r="AE42">
        <f t="shared" si="59"/>
        <v>14</v>
      </c>
      <c r="AW42">
        <f t="shared" si="35"/>
        <v>20</v>
      </c>
    </row>
    <row r="43" spans="1:54" x14ac:dyDescent="0.45">
      <c r="AW43">
        <f t="shared" si="35"/>
        <v>21</v>
      </c>
    </row>
    <row r="44" spans="1:54" x14ac:dyDescent="0.45">
      <c r="AW44">
        <f t="shared" si="35"/>
        <v>22</v>
      </c>
    </row>
    <row r="45" spans="1:54" x14ac:dyDescent="0.45">
      <c r="AW45">
        <f t="shared" si="35"/>
        <v>25</v>
      </c>
    </row>
    <row r="46" spans="1:54" x14ac:dyDescent="0.45">
      <c r="AW46">
        <f t="shared" si="35"/>
        <v>0</v>
      </c>
    </row>
    <row r="47" spans="1:54" x14ac:dyDescent="0.45">
      <c r="AW47">
        <f t="shared" si="35"/>
        <v>0</v>
      </c>
    </row>
    <row r="48" spans="1:54" x14ac:dyDescent="0.45">
      <c r="AW48">
        <f>B27</f>
        <v>1</v>
      </c>
    </row>
    <row r="49" spans="49:49" x14ac:dyDescent="0.45">
      <c r="AW49">
        <f t="shared" ref="AW49:AW61" si="60">B28</f>
        <v>6</v>
      </c>
    </row>
    <row r="50" spans="49:49" x14ac:dyDescent="0.45">
      <c r="AW50">
        <f t="shared" si="60"/>
        <v>10</v>
      </c>
    </row>
    <row r="51" spans="49:49" x14ac:dyDescent="0.45">
      <c r="AW51">
        <f t="shared" si="60"/>
        <v>11</v>
      </c>
    </row>
    <row r="52" spans="49:49" x14ac:dyDescent="0.45">
      <c r="AW52">
        <f t="shared" si="60"/>
        <v>13</v>
      </c>
    </row>
    <row r="53" spans="49:49" x14ac:dyDescent="0.45">
      <c r="AW53">
        <f t="shared" si="60"/>
        <v>18</v>
      </c>
    </row>
    <row r="54" spans="49:49" x14ac:dyDescent="0.45">
      <c r="AW54">
        <f t="shared" si="60"/>
        <v>23</v>
      </c>
    </row>
    <row r="55" spans="49:49" x14ac:dyDescent="0.45">
      <c r="AW55">
        <f t="shared" si="60"/>
        <v>24</v>
      </c>
    </row>
    <row r="56" spans="49:49" x14ac:dyDescent="0.45">
      <c r="AW56">
        <f t="shared" si="60"/>
        <v>25</v>
      </c>
    </row>
    <row r="57" spans="49:49" x14ac:dyDescent="0.45">
      <c r="AW57">
        <f t="shared" si="60"/>
        <v>26</v>
      </c>
    </row>
    <row r="58" spans="49:49" x14ac:dyDescent="0.45">
      <c r="AW58">
        <f t="shared" si="60"/>
        <v>27</v>
      </c>
    </row>
    <row r="59" spans="49:49" x14ac:dyDescent="0.45">
      <c r="AW59">
        <f t="shared" si="60"/>
        <v>28</v>
      </c>
    </row>
    <row r="60" spans="49:49" x14ac:dyDescent="0.45">
      <c r="AW60">
        <f t="shared" si="60"/>
        <v>0</v>
      </c>
    </row>
    <row r="61" spans="49:49" x14ac:dyDescent="0.45">
      <c r="AW61">
        <f t="shared" si="60"/>
        <v>0</v>
      </c>
    </row>
    <row r="62" spans="49:49" x14ac:dyDescent="0.45">
      <c r="AW62">
        <f>R27</f>
        <v>2</v>
      </c>
    </row>
    <row r="63" spans="49:49" x14ac:dyDescent="0.45">
      <c r="AW63">
        <f t="shared" ref="AW63:AW75" si="61">R28</f>
        <v>3</v>
      </c>
    </row>
    <row r="64" spans="49:49" x14ac:dyDescent="0.45">
      <c r="AW64">
        <f t="shared" si="61"/>
        <v>4</v>
      </c>
    </row>
    <row r="65" spans="49:49" x14ac:dyDescent="0.45">
      <c r="AW65">
        <f t="shared" si="61"/>
        <v>9</v>
      </c>
    </row>
    <row r="66" spans="49:49" x14ac:dyDescent="0.45">
      <c r="AW66">
        <f t="shared" si="61"/>
        <v>12</v>
      </c>
    </row>
    <row r="67" spans="49:49" x14ac:dyDescent="0.45">
      <c r="AW67">
        <f t="shared" si="61"/>
        <v>13</v>
      </c>
    </row>
    <row r="68" spans="49:49" x14ac:dyDescent="0.45">
      <c r="AW68">
        <f t="shared" si="61"/>
        <v>21</v>
      </c>
    </row>
    <row r="69" spans="49:49" x14ac:dyDescent="0.45">
      <c r="AW69">
        <f t="shared" si="61"/>
        <v>22</v>
      </c>
    </row>
    <row r="70" spans="49:49" x14ac:dyDescent="0.45">
      <c r="AW70">
        <f t="shared" si="61"/>
        <v>23</v>
      </c>
    </row>
    <row r="71" spans="49:49" x14ac:dyDescent="0.45">
      <c r="AW71">
        <f t="shared" si="61"/>
        <v>24</v>
      </c>
    </row>
    <row r="72" spans="49:49" x14ac:dyDescent="0.45">
      <c r="AW72">
        <f t="shared" si="61"/>
        <v>27</v>
      </c>
    </row>
    <row r="73" spans="49:49" x14ac:dyDescent="0.45">
      <c r="AW73">
        <f t="shared" si="61"/>
        <v>28</v>
      </c>
    </row>
    <row r="74" spans="49:49" x14ac:dyDescent="0.45">
      <c r="AW74">
        <f t="shared" si="61"/>
        <v>0</v>
      </c>
    </row>
    <row r="75" spans="49:49" x14ac:dyDescent="0.45">
      <c r="AW75">
        <f t="shared" si="61"/>
        <v>0</v>
      </c>
    </row>
  </sheetData>
  <sortState xmlns:xlrd2="http://schemas.microsoft.com/office/spreadsheetml/2017/richdata2" ref="B27:B40">
    <sortCondition ref="B27"/>
  </sortState>
  <mergeCells count="1">
    <mergeCell ref="R4:U4"/>
  </mergeCells>
  <conditionalFormatting sqref="BA6:BA33">
    <cfRule type="cellIs" dxfId="2" priority="1" operator="equal">
      <formula>2</formula>
    </cfRule>
  </conditionalFormatting>
  <conditionalFormatting sqref="BB6:BB33">
    <cfRule type="cellIs" dxfId="1" priority="3" operator="lessThan">
      <formula>0</formula>
    </cfRule>
    <cfRule type="cellIs" dxfId="0" priority="4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Charts</vt:lpstr>
      </vt:variant>
      <vt:variant>
        <vt:i4>1</vt:i4>
      </vt:variant>
    </vt:vector>
  </HeadingPairs>
  <TitlesOfParts>
    <vt:vector size="8" baseType="lpstr">
      <vt:lpstr>النصاب الكامل</vt:lpstr>
      <vt:lpstr>الفصول</vt:lpstr>
      <vt:lpstr>أرقام</vt:lpstr>
      <vt:lpstr>ورقة19</vt:lpstr>
      <vt:lpstr>اخراج نهائي</vt:lpstr>
      <vt:lpstr>ورقة1</vt:lpstr>
      <vt:lpstr>ورقة2</vt:lpstr>
      <vt:lpstr>مخطط1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Alqmah</dc:creator>
  <cp:lastModifiedBy>Mohammed Alfaifi</cp:lastModifiedBy>
  <cp:lastPrinted>2026-08-26T08:05:28Z</cp:lastPrinted>
  <dcterms:created xsi:type="dcterms:W3CDTF">2019-01-06T19:17:43Z</dcterms:created>
  <dcterms:modified xsi:type="dcterms:W3CDTF">2026-08-26T12:36:09Z</dcterms:modified>
</cp:coreProperties>
</file>